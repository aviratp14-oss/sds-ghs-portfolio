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Q_Log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Raw_Trade" sheetId="4" state="visible" r:id="rId4"/>
    <sheet xmlns:r="http://schemas.openxmlformats.org/officeDocument/2006/relationships" name="Trade_Summary" sheetId="5" state="visible" r:id="rId5"/>
    <sheet xmlns:r="http://schemas.openxmlformats.org/officeDocument/2006/relationships" name="EV_Reported" sheetId="6" state="visible" r:id="rId6"/>
    <sheet xmlns:r="http://schemas.openxmlformats.org/officeDocument/2006/relationships" name="Base_Year_2025" sheetId="7" state="visible" r:id="rId7"/>
    <sheet xmlns:r="http://schemas.openxmlformats.org/officeDocument/2006/relationships" name="Chemistry" sheetId="8" state="visible" r:id="rId8"/>
    <sheet xmlns:r="http://schemas.openxmlformats.org/officeDocument/2006/relationships" name="Industry_Baseline" sheetId="9" state="visible" r:id="rId9"/>
    <sheet xmlns:r="http://schemas.openxmlformats.org/officeDocument/2006/relationships" name="Sources" sheetId="10" state="visible" r:id="rId10"/>
  </sheets>
  <definedNames>
    <definedName name="_xlnm._FilterDatabase" localSheetId="3" hidden="1">'Raw_Trade'!$A$1:$Q$190</definedName>
    <definedName name="_xlnm._FilterDatabase" localSheetId="5" hidden="1">'EV_Reported'!$A$1:$J$51</definedName>
    <definedName name="_xlnm._FilterDatabase" localSheetId="9" hidden="1">'Sources'!$A$1:$F$33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4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Project I - data cleaning: lithium demand in India</t>
        </is>
      </c>
    </row>
    <row r="2">
      <c r="A2" s="2" t="inlineStr"/>
    </row>
    <row r="3">
      <c r="A3" s="2" t="inlineStr">
        <is>
          <t>Grey headers = raw data as collected. Yellow headers = my cleaning formulas. Green = inputs I set.</t>
        </is>
      </c>
    </row>
    <row r="4">
      <c r="A4" s="2" t="inlineStr">
        <is>
          <t>Sources for every row are on the Sources tab (Source_ID). A00 = my own assumption, explained next to it.</t>
        </is>
      </c>
    </row>
    <row r="5">
      <c r="A5" s="2" t="inlineStr"/>
    </row>
    <row r="6">
      <c r="A6" s="3" t="inlineStr">
        <is>
          <t>What I fixed</t>
        </is>
      </c>
    </row>
    <row r="7">
      <c r="A7" s="2" t="inlineStr">
        <is>
          <t>Trade (WITS / UN Comtrade, HS 283691 lithium carbonate and 282520 lithium hydroxide, 2018-2024):</t>
        </is>
      </c>
    </row>
    <row r="8">
      <c r="A8" s="2" t="inlineStr">
        <is>
          <t>- numbers came as text with thousands separators and values in USD thousand: converted</t>
        </is>
      </c>
    </row>
    <row r="9">
      <c r="A9" s="2" t="inlineStr">
        <is>
          <t>- the World total row sits in the same list as the partners: kept it only to reconcile</t>
        </is>
      </c>
    </row>
    <row r="10">
      <c r="A10" s="2" t="inlineStr">
        <is>
          <t>- 16 rows have a unit value under 3 USD/kg, which no lithium chemical sells for. Ireland shows up every year</t>
        </is>
      </c>
    </row>
    <row r="11">
      <c r="A11" s="2" t="inlineStr">
        <is>
          <t xml:space="preserve">  at ~0.55 USD/kg; most likely a different product booked under 283691. Quantity re-estimated from value.</t>
        </is>
      </c>
    </row>
    <row r="12">
      <c r="A12" s="2" t="inlineStr">
        <is>
          <t>- result: reported carbonate tonnes are about 2x the cleaned figure in most years</t>
        </is>
      </c>
    </row>
    <row r="13">
      <c r="A13" s="2" t="inlineStr">
        <is>
          <t>- hydroxide converted at 0.880 t LCE per t LiOH.H2O so everything is in t LCE</t>
        </is>
      </c>
    </row>
    <row r="14">
      <c r="A14" s="2" t="inlineStr">
        <is>
          <t>EV sales (6 reports, Vahan based):</t>
        </is>
      </c>
    </row>
    <row r="15">
      <c r="A15" s="2" t="inlineStr">
        <is>
          <t>- 36 different segment labels mapped to 2W / 3W_L3 / 3W_L5 / 4W / Bus / Truck / CV / Total (Lookups)</t>
        </is>
      </c>
    </row>
    <row r="16">
      <c r="A16" s="2" t="inlineStr">
        <is>
          <t>- Indian digit grouping (20,37,831), "lakh", "~", "&gt;" and "almost" parsed to numbers</t>
        </is>
      </c>
    </row>
    <row r="17">
      <c r="A17" s="2" t="inlineStr">
        <is>
          <t>- period labels (FY2025, FY 2024-25, FY2025-26, CY2025) standardised</t>
        </is>
      </c>
    </row>
    <row r="18">
      <c r="A18" s="2" t="inlineStr">
        <is>
          <t>- sources disagree on FY2025 (1,964,831 vs 2,037,831); kept both and noted which one I use</t>
        </is>
      </c>
    </row>
    <row r="19">
      <c r="A19" s="2" t="inlineStr">
        <is>
          <t>Base year 2025 units = IESA CY2025 total x segment shares; market size = EV units / EV penetration</t>
        </is>
      </c>
    </row>
    <row r="20">
      <c r="A20" s="2" t="inlineStr">
        <is>
          <t>Lithium per kWh worked out from cathode chemistry (formula mass, capacity, voltage) on the Chemistry tab</t>
        </is>
      </c>
    </row>
    <row r="21">
      <c r="A21" s="2" t="inlineStr"/>
    </row>
    <row r="22">
      <c r="A22" s="2" t="inlineStr">
        <is>
          <t>The demand model itself is in Project_I_Lithium_Demand_Model.xlsx.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1" customWidth="1" min="3" max="3"/>
    <col width="70" customWidth="1" min="4" max="4"/>
  </cols>
  <sheetData>
    <row r="1">
      <c r="A1" s="4" t="inlineStr">
        <is>
          <t>Table</t>
        </is>
      </c>
      <c r="B1" s="4" t="inlineStr">
        <is>
          <t>Issue</t>
        </is>
      </c>
      <c r="C1" s="4" t="inlineStr">
        <is>
          <t>Rows</t>
        </is>
      </c>
      <c r="D1" s="4" t="inlineStr">
        <is>
          <t>What I did</t>
        </is>
      </c>
    </row>
    <row r="2">
      <c r="A2" t="inlineStr">
        <is>
          <t>Raw_Trade</t>
        </is>
      </c>
      <c r="B2" t="inlineStr">
        <is>
          <t>Numbers stored as text with separators</t>
        </is>
      </c>
      <c r="C2">
        <f>COUNTA(Raw_Trade!F2:F190)</f>
        <v/>
      </c>
      <c r="D2" t="inlineStr">
        <is>
          <t>VALUE(SUBSTITUTE()), USD thousand to USD</t>
        </is>
      </c>
    </row>
    <row r="3">
      <c r="A3" t="inlineStr">
        <is>
          <t>Raw_Trade</t>
        </is>
      </c>
      <c r="B3" t="inlineStr">
        <is>
          <t>World total rows mixed in with partners</t>
        </is>
      </c>
      <c r="C3">
        <f>COUNTIF(Raw_Trade!K2:K190,TRUE)</f>
        <v/>
      </c>
      <c r="D3" t="inlineStr">
        <is>
          <t>Used only to reconcile (Trade_Summary col G = 0)</t>
        </is>
      </c>
    </row>
    <row r="4">
      <c r="A4" t="inlineStr">
        <is>
          <t>Raw_Trade</t>
        </is>
      </c>
      <c r="B4" t="inlineStr">
        <is>
          <t>Unit value under the floor</t>
        </is>
      </c>
      <c r="C4">
        <f>COUNTIF(Raw_Trade!M2:M190,"Unit value below floor")</f>
        <v/>
      </c>
      <c r="D4" t="inlineStr">
        <is>
          <t>Quantity re-estimated from value at the clean unit value</t>
        </is>
      </c>
    </row>
    <row r="5">
      <c r="A5" t="inlineStr">
        <is>
          <t>Raw_Trade</t>
        </is>
      </c>
      <c r="B5" t="inlineStr">
        <is>
          <t>India as its own partner (re-import)</t>
        </is>
      </c>
      <c r="C5">
        <f>COUNTIF(Raw_Trade!M2:M190,"Re-import")</f>
        <v/>
      </c>
      <c r="D5" t="inlineStr">
        <is>
          <t>Kept, flagged</t>
        </is>
      </c>
    </row>
    <row r="6">
      <c r="A6" t="inlineStr">
        <is>
          <t>Trade_Summary</t>
        </is>
      </c>
      <c r="B6" t="inlineStr">
        <is>
          <t>Tonnes removed by cleaning</t>
        </is>
      </c>
      <c r="C6">
        <f>SUM(Trade_Summary!I2:I15)/1000</f>
        <v/>
      </c>
      <c r="D6" t="inlineStr">
        <is>
          <t>In tonnes; most of it is carbonate</t>
        </is>
      </c>
    </row>
    <row r="7">
      <c r="A7" t="inlineStr">
        <is>
          <t>EV_Reported</t>
        </is>
      </c>
      <c r="B7" t="inlineStr">
        <is>
          <t>Segment labels needing a mapping</t>
        </is>
      </c>
      <c r="C7">
        <f>COUNTA(Lookups!A2:A37)</f>
        <v/>
      </c>
      <c r="D7" t="inlineStr">
        <is>
          <t>Lookups tab</t>
        </is>
      </c>
    </row>
    <row r="8">
      <c r="A8" t="inlineStr">
        <is>
          <t>EV_Reported</t>
        </is>
      </c>
      <c r="B8" t="inlineStr">
        <is>
          <t>Values with Indian grouping or words</t>
        </is>
      </c>
      <c r="C8">
        <f>SUMPRODUCT(--ISNUMBER(SEARCH("lakh",EV_Reported!D2:D51)))+SUMPRODUCT(--ISNUMBER(SEARCH("~",EV_Reported!D2:D51)))+SUMPRODUCT(--ISNUMBER(SEARCH("&gt;",EV_Reported!D2:D51)))+SUMPRODUCT(--ISNUMBER(SEARCH("almost",EV_Reported!D2:D51)))+SUMPRODUCT(--(LEN(EV_Reported!D2:D51)-LEN(SUBSTITUTE(EV_Reported!D2:D51,",",""))=2)*(MID(EV_Reported!D2:D51,3,1)=","))</f>
        <v/>
      </c>
      <c r="D8" t="inlineStr">
        <is>
          <t>Parsed to numbers</t>
        </is>
      </c>
    </row>
    <row r="9">
      <c r="A9" t="inlineStr">
        <is>
          <t>EV_Reported</t>
        </is>
      </c>
      <c r="B9" t="inlineStr">
        <is>
          <t>FY2025 total EVs: two sources disagree</t>
        </is>
      </c>
      <c r="C9" t="n">
        <v>2</v>
      </c>
      <c r="D9" t="inlineStr">
        <is>
          <t>Vahan retail (S07) for history; IESA CY2025 (S10) for the base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30" customWidth="1" min="4" max="4"/>
    <col width="11" customWidth="1" min="5" max="5"/>
    <col width="11" customWidth="1" min="6" max="6"/>
    <col width="11" customWidth="1" min="7" max="7"/>
    <col width="22" customWidth="1" min="8" max="8"/>
    <col width="11" customWidth="1" min="9" max="9"/>
    <col width="30" customWidth="1" min="10" max="10"/>
    <col width="11" customWidth="1" min="11" max="11"/>
  </cols>
  <sheetData>
    <row r="1">
      <c r="A1" s="4" t="inlineStr">
        <is>
          <t>Segment_As_Reported (lower case)</t>
        </is>
      </c>
      <c r="B1" s="4" t="inlineStr">
        <is>
          <t>Std_Segment</t>
        </is>
      </c>
      <c r="D1" s="4" t="inlineStr">
        <is>
          <t>Unit_As_Reported (lower case)</t>
        </is>
      </c>
      <c r="E1" s="4" t="inlineStr">
        <is>
          <t>Measure</t>
        </is>
      </c>
      <c r="G1" s="4" t="inlineStr">
        <is>
          <t>HS6</t>
        </is>
      </c>
      <c r="H1" s="4" t="inlineStr">
        <is>
          <t>t_LCE_per_t_product</t>
        </is>
      </c>
      <c r="J1" s="4" t="inlineStr">
        <is>
          <t>Constant</t>
        </is>
      </c>
      <c r="K1" s="4" t="inlineStr">
        <is>
          <t>Value</t>
        </is>
      </c>
    </row>
    <row r="2">
      <c r="A2" t="inlineStr">
        <is>
          <t>all vehicles</t>
        </is>
      </c>
      <c r="B2" t="inlineStr">
        <is>
          <t>All_Vehicles</t>
        </is>
      </c>
      <c r="D2" t="inlineStr">
        <is>
          <t>% of e-rickshaw market</t>
        </is>
      </c>
      <c r="E2" t="inlineStr">
        <is>
          <t>Share_LiIon_in_L3</t>
        </is>
      </c>
      <c r="G2" t="inlineStr">
        <is>
          <t>283691</t>
        </is>
      </c>
      <c r="H2" t="n">
        <v>1</v>
      </c>
      <c r="J2" t="inlineStr">
        <is>
          <t>Unit value floor (USD/kg)</t>
        </is>
      </c>
      <c r="K2" s="5" t="n">
        <v>3</v>
      </c>
    </row>
    <row r="3">
      <c r="A3" t="inlineStr">
        <is>
          <t>battery demand</t>
        </is>
      </c>
      <c r="B3" t="inlineStr">
        <is>
          <t>Battery</t>
        </is>
      </c>
      <c r="D3" t="inlineStr">
        <is>
          <t>% of ev sales</t>
        </is>
      </c>
      <c r="E3" t="inlineStr">
        <is>
          <t>Share_of_EV_Sales</t>
        </is>
      </c>
      <c r="G3" t="inlineStr">
        <is>
          <t>282520</t>
        </is>
      </c>
      <c r="H3" t="n">
        <v>0.88</v>
      </c>
      <c r="J3" t="inlineStr">
        <is>
          <t>t LCE per t Li</t>
        </is>
      </c>
      <c r="K3" s="5" t="n">
        <v>5.323</v>
      </c>
    </row>
    <row r="4">
      <c r="A4" t="inlineStr">
        <is>
          <t>buses</t>
        </is>
      </c>
      <c r="B4" t="inlineStr">
        <is>
          <t>Bus</t>
        </is>
      </c>
      <c r="D4" t="inlineStr">
        <is>
          <t>% of gwh</t>
        </is>
      </c>
      <c r="E4" t="inlineStr">
        <is>
          <t>Share_of_EV_GWh</t>
        </is>
      </c>
      <c r="J4" t="inlineStr">
        <is>
          <t>Electrolyte kg LCE per kWh</t>
        </is>
      </c>
      <c r="K4" s="5" t="n">
        <v>0.012</v>
      </c>
    </row>
    <row r="5">
      <c r="A5" t="inlineStr">
        <is>
          <t>buses battery share</t>
        </is>
      </c>
      <c r="B5" t="inlineStr">
        <is>
          <t>Bus</t>
        </is>
      </c>
      <c r="D5" t="inlineStr">
        <is>
          <t>% of sales</t>
        </is>
      </c>
      <c r="E5" t="inlineStr">
        <is>
          <t>Target_Share_of_Sales</t>
        </is>
      </c>
      <c r="J5" t="inlineStr">
        <is>
          <t>Cell yield</t>
        </is>
      </c>
      <c r="K5" s="5" t="n">
        <v>0.92</v>
      </c>
    </row>
    <row r="6">
      <c r="A6" t="inlineStr">
        <is>
          <t>cars (4w)</t>
        </is>
      </c>
      <c r="B6" t="inlineStr">
        <is>
          <t>4W</t>
        </is>
      </c>
      <c r="D6" t="inlineStr">
        <is>
          <t>% penetration</t>
        </is>
      </c>
      <c r="E6" t="inlineStr">
        <is>
          <t>EV_Penetration</t>
        </is>
      </c>
      <c r="J6" t="inlineStr">
        <is>
          <t>Li molar mass</t>
        </is>
      </c>
      <c r="K6" s="5" t="n">
        <v>6.941</v>
      </c>
    </row>
    <row r="7">
      <c r="A7" t="inlineStr">
        <is>
          <t>commercial cars</t>
        </is>
      </c>
      <c r="B7" t="inlineStr">
        <is>
          <t>4W_Commercial</t>
        </is>
      </c>
      <c r="D7" t="inlineStr">
        <is>
          <t>% yoy growth</t>
        </is>
      </c>
      <c r="E7" t="inlineStr">
        <is>
          <t>YoY_Growth</t>
        </is>
      </c>
      <c r="J7" t="inlineStr">
        <is>
          <t>Fe</t>
        </is>
      </c>
      <c r="K7" s="5" t="n">
        <v>55.845</v>
      </c>
    </row>
    <row r="8">
      <c r="A8" t="inlineStr">
        <is>
          <t>e-2w</t>
        </is>
      </c>
      <c r="B8" t="inlineStr">
        <is>
          <t>2W</t>
        </is>
      </c>
      <c r="D8" t="inlineStr">
        <is>
          <t>gwh</t>
        </is>
      </c>
      <c r="E8" t="inlineStr">
        <is>
          <t>GWh</t>
        </is>
      </c>
      <c r="J8" t="inlineStr">
        <is>
          <t>P</t>
        </is>
      </c>
      <c r="K8" s="5" t="n">
        <v>30.974</v>
      </c>
    </row>
    <row r="9">
      <c r="A9" t="inlineStr">
        <is>
          <t>e-2w (high-speed)</t>
        </is>
      </c>
      <c r="B9" t="inlineStr">
        <is>
          <t>2W</t>
        </is>
      </c>
      <c r="D9" t="inlineStr">
        <is>
          <t>million</t>
        </is>
      </c>
      <c r="E9" t="inlineStr">
        <is>
          <t>Units</t>
        </is>
      </c>
      <c r="J9" t="inlineStr">
        <is>
          <t>O</t>
        </is>
      </c>
      <c r="K9" s="5" t="n">
        <v>15.999</v>
      </c>
    </row>
    <row r="10">
      <c r="A10" t="inlineStr">
        <is>
          <t>e-3w l5m</t>
        </is>
      </c>
      <c r="B10" t="inlineStr">
        <is>
          <t>3W_L5</t>
        </is>
      </c>
      <c r="D10" t="inlineStr">
        <is>
          <t>units</t>
        </is>
      </c>
      <c r="E10" t="inlineStr">
        <is>
          <t>Units</t>
        </is>
      </c>
      <c r="J10" t="inlineStr">
        <is>
          <t>Ni</t>
        </is>
      </c>
      <c r="K10" s="5" t="n">
        <v>58.693</v>
      </c>
    </row>
    <row r="11">
      <c r="A11" t="inlineStr">
        <is>
          <t>e-3w l5n</t>
        </is>
      </c>
      <c r="B11" t="inlineStr">
        <is>
          <t>3W_L5</t>
        </is>
      </c>
      <c r="D11" t="inlineStr">
        <is>
          <t>years</t>
        </is>
      </c>
      <c r="E11" t="inlineStr">
        <is>
          <t>Years</t>
        </is>
      </c>
      <c r="J11" t="inlineStr">
        <is>
          <t>Mn</t>
        </is>
      </c>
      <c r="K11" s="5" t="n">
        <v>54.938</v>
      </c>
    </row>
    <row r="12">
      <c r="A12" t="inlineStr">
        <is>
          <t>e-4w</t>
        </is>
      </c>
      <c r="B12" t="inlineStr">
        <is>
          <t>4W</t>
        </is>
      </c>
      <c r="J12" t="inlineStr">
        <is>
          <t>Co</t>
        </is>
      </c>
      <c r="K12" s="5" t="n">
        <v>58.933</v>
      </c>
    </row>
    <row r="13">
      <c r="A13" t="inlineStr">
        <is>
          <t>e-cart</t>
        </is>
      </c>
      <c r="B13" t="inlineStr">
        <is>
          <t>3W_L3</t>
        </is>
      </c>
    </row>
    <row r="14">
      <c r="A14" t="inlineStr">
        <is>
          <t>e-rickshaw</t>
        </is>
      </c>
      <c r="B14" t="inlineStr">
        <is>
          <t>3W_L3</t>
        </is>
      </c>
    </row>
    <row r="15">
      <c r="A15" t="inlineStr">
        <is>
          <t>e-rickshaw li-ion battery life</t>
        </is>
      </c>
      <c r="B15" t="inlineStr">
        <is>
          <t>3W_L3</t>
        </is>
      </c>
    </row>
    <row r="16">
      <c r="A16" t="inlineStr">
        <is>
          <t>e-rickshaw li-ion share</t>
        </is>
      </c>
      <c r="B16" t="inlineStr">
        <is>
          <t>3W_L3</t>
        </is>
      </c>
    </row>
    <row r="17">
      <c r="A17" t="inlineStr">
        <is>
          <t>e2w</t>
        </is>
      </c>
      <c r="B17" t="inlineStr">
        <is>
          <t>2W</t>
        </is>
      </c>
    </row>
    <row r="18">
      <c r="A18" t="inlineStr">
        <is>
          <t>e3w passenger</t>
        </is>
      </c>
      <c r="B18" t="inlineStr">
        <is>
          <t>3W_Passenger</t>
        </is>
      </c>
    </row>
    <row r="19">
      <c r="A19" t="inlineStr">
        <is>
          <t>electric 2w</t>
        </is>
      </c>
      <c r="B19" t="inlineStr">
        <is>
          <t>2W</t>
        </is>
      </c>
    </row>
    <row r="20">
      <c r="A20" t="inlineStr">
        <is>
          <t>electric buses</t>
        </is>
      </c>
      <c r="B20" t="inlineStr">
        <is>
          <t>Bus</t>
        </is>
      </c>
    </row>
    <row r="21">
      <c r="A21" t="inlineStr">
        <is>
          <t>electric commercial vehicles (buses, heavy and light goods)</t>
        </is>
      </c>
      <c r="B21" t="inlineStr">
        <is>
          <t>CV</t>
        </is>
      </c>
    </row>
    <row r="22">
      <c r="A22" t="inlineStr">
        <is>
          <t>electric four-wheelers</t>
        </is>
      </c>
      <c r="B22" t="inlineStr">
        <is>
          <t>4W</t>
        </is>
      </c>
    </row>
    <row r="23">
      <c r="A23" t="inlineStr">
        <is>
          <t>electric passenger vehicles</t>
        </is>
      </c>
      <c r="B23" t="inlineStr">
        <is>
          <t>4W</t>
        </is>
      </c>
    </row>
    <row r="24">
      <c r="A24" t="inlineStr">
        <is>
          <t>electric passenger vehicles (cars, suvs, mpvs)</t>
        </is>
      </c>
      <c r="B24" t="inlineStr">
        <is>
          <t>4W</t>
        </is>
      </c>
    </row>
    <row r="25">
      <c r="A25" t="inlineStr">
        <is>
          <t>electric three-wheelers</t>
        </is>
      </c>
      <c r="B25" t="inlineStr">
        <is>
          <t>3W</t>
        </is>
      </c>
    </row>
    <row r="26">
      <c r="A26" t="inlineStr">
        <is>
          <t>electric three-wheelers (e3w)</t>
        </is>
      </c>
      <c r="B26" t="inlineStr">
        <is>
          <t>3W</t>
        </is>
      </c>
    </row>
    <row r="27">
      <c r="A27" t="inlineStr">
        <is>
          <t>electric trucks</t>
        </is>
      </c>
      <c r="B27" t="inlineStr">
        <is>
          <t>Truck</t>
        </is>
      </c>
    </row>
    <row r="28">
      <c r="A28" t="inlineStr">
        <is>
          <t>electric two-wheelers</t>
        </is>
      </c>
      <c r="B28" t="inlineStr">
        <is>
          <t>2W</t>
        </is>
      </c>
    </row>
    <row r="29">
      <c r="A29" t="inlineStr">
        <is>
          <t>electric two-wheelers (e2w)</t>
        </is>
      </c>
      <c r="B29" t="inlineStr">
        <is>
          <t>2W</t>
        </is>
      </c>
    </row>
    <row r="30">
      <c r="A30" t="inlineStr">
        <is>
          <t>ev battery demand</t>
        </is>
      </c>
      <c r="B30" t="inlineStr">
        <is>
          <t>Battery</t>
        </is>
      </c>
    </row>
    <row r="31">
      <c r="A31" t="inlineStr">
        <is>
          <t>four-wheelers battery share</t>
        </is>
      </c>
      <c r="B31" t="inlineStr">
        <is>
          <t>4W</t>
        </is>
      </c>
    </row>
    <row r="32">
      <c r="A32" t="inlineStr">
        <is>
          <t>private cars</t>
        </is>
      </c>
      <c r="B32" t="inlineStr">
        <is>
          <t>4W</t>
        </is>
      </c>
    </row>
    <row r="33">
      <c r="A33" t="inlineStr">
        <is>
          <t>three-wheelers battery share</t>
        </is>
      </c>
      <c r="B33" t="inlineStr">
        <is>
          <t>3W</t>
        </is>
      </c>
    </row>
    <row r="34">
      <c r="A34" t="inlineStr">
        <is>
          <t>total ev</t>
        </is>
      </c>
      <c r="B34" t="inlineStr">
        <is>
          <t>Total</t>
        </is>
      </c>
    </row>
    <row r="35">
      <c r="A35" t="inlineStr">
        <is>
          <t>total evs</t>
        </is>
      </c>
      <c r="B35" t="inlineStr">
        <is>
          <t>Total</t>
        </is>
      </c>
    </row>
    <row r="36">
      <c r="A36" t="inlineStr">
        <is>
          <t>two- and three-wheelers</t>
        </is>
      </c>
      <c r="B36" t="inlineStr">
        <is>
          <t>2W_3W</t>
        </is>
      </c>
    </row>
    <row r="37">
      <c r="A37" t="inlineStr">
        <is>
          <t>two-wheelers battery share</t>
        </is>
      </c>
      <c r="B37" t="inlineStr">
        <is>
          <t>2W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27" customWidth="1" min="6" max="6"/>
    <col width="11" customWidth="1" min="7" max="7"/>
    <col width="16" customWidth="1" min="8" max="8"/>
    <col width="12" customWidth="1" min="9" max="9"/>
    <col width="11" customWidth="1" min="10" max="10"/>
    <col width="15" customWidth="1" min="11" max="11"/>
    <col width="20" customWidth="1" min="12" max="12"/>
    <col width="11" customWidth="1" min="13" max="13"/>
    <col width="14" customWidth="1" min="14" max="14"/>
    <col width="17" customWidth="1" min="15" max="15"/>
    <col width="15" customWidth="1" min="16" max="16"/>
    <col width="18" customWidth="1" min="17" max="17"/>
  </cols>
  <sheetData>
    <row r="1">
      <c r="A1" s="6" t="inlineStr">
        <is>
          <t>Reporter</t>
        </is>
      </c>
      <c r="B1" s="6" t="inlineStr">
        <is>
          <t>Year</t>
        </is>
      </c>
      <c r="C1" s="6" t="inlineStr">
        <is>
          <t>HS6</t>
        </is>
      </c>
      <c r="D1" s="6" t="inlineStr">
        <is>
          <t>Product</t>
        </is>
      </c>
      <c r="E1" s="6" t="inlineStr">
        <is>
          <t>Partner</t>
        </is>
      </c>
      <c r="F1" s="6" t="inlineStr">
        <is>
          <t>Trade_Value_USD_Thousand</t>
        </is>
      </c>
      <c r="G1" s="6" t="inlineStr">
        <is>
          <t>Quantity</t>
        </is>
      </c>
      <c r="H1" s="6" t="inlineStr">
        <is>
          <t>Quantity_Unit</t>
        </is>
      </c>
      <c r="I1" s="7" t="inlineStr">
        <is>
          <t>Value_USD</t>
        </is>
      </c>
      <c r="J1" s="7" t="inlineStr">
        <is>
          <t>Qty_kg</t>
        </is>
      </c>
      <c r="K1" s="7" t="inlineStr">
        <is>
          <t>Is_World_Row</t>
        </is>
      </c>
      <c r="L1" s="7" t="inlineStr">
        <is>
          <t>Unit_Value_USD_kg</t>
        </is>
      </c>
      <c r="M1" s="7" t="inlineStr">
        <is>
          <t>Flag</t>
        </is>
      </c>
      <c r="N1" s="7" t="inlineStr">
        <is>
          <t>Use_For_Ref</t>
        </is>
      </c>
      <c r="O1" s="7" t="inlineStr">
        <is>
          <t>Ref_Unit_Value</t>
        </is>
      </c>
      <c r="P1" s="7" t="inlineStr">
        <is>
          <t>Qty_Clean_kg</t>
        </is>
      </c>
      <c r="Q1" s="7" t="inlineStr">
        <is>
          <t>Qty_Clean_t_LCE</t>
        </is>
      </c>
    </row>
    <row r="2">
      <c r="A2" t="inlineStr">
        <is>
          <t>India</t>
        </is>
      </c>
      <c r="B2" t="n">
        <v>2018</v>
      </c>
      <c r="C2" t="inlineStr">
        <is>
          <t>283691</t>
        </is>
      </c>
      <c r="D2" t="inlineStr">
        <is>
          <t>Lithium carbonates</t>
        </is>
      </c>
      <c r="E2" t="inlineStr">
        <is>
          <t>World</t>
        </is>
      </c>
      <c r="F2" t="inlineStr">
        <is>
          <t>14,622.29</t>
        </is>
      </c>
      <c r="G2" t="inlineStr">
        <is>
          <t>1,656,320</t>
        </is>
      </c>
      <c r="H2" t="inlineStr">
        <is>
          <t>Kg</t>
        </is>
      </c>
      <c r="I2">
        <f>VALUE(SUBSTITUTE(F2,",",""))*1000</f>
        <v/>
      </c>
      <c r="J2">
        <f>VALUE(SUBSTITUTE(G2,",",""))</f>
        <v/>
      </c>
      <c r="K2">
        <f>E2="World"</f>
        <v/>
      </c>
      <c r="L2">
        <f>IF(J2=0,0,I2/J2)</f>
        <v/>
      </c>
      <c r="M2">
        <f>IF(K2,"",IF(E2="India","Re-import",IF(L2&lt;Lookups!$K$2,"Unit value below floor","")))</f>
        <v/>
      </c>
      <c r="N2">
        <f>IF(AND(NOT(K2),M2=""),1,0)</f>
        <v/>
      </c>
      <c r="O2">
        <f>SUMIFS($I$2:$I$190,$B$2:$B$190,B2,$C$2:$C$190,C2,$N$2:$N$190,1)/SUMIFS($J$2:$J$190,$B$2:$B$190,B2,$C$2:$C$190,C2,$N$2:$N$190,1)</f>
        <v/>
      </c>
      <c r="P2">
        <f>IF(K2,"",IF(M2="Unit value below floor",I2/O2,J2))</f>
        <v/>
      </c>
      <c r="Q2">
        <f>IF(K2,"",P2/1000*VLOOKUP(C2,Lookups!$G$2:$H$3,2,FALSE))</f>
        <v/>
      </c>
    </row>
    <row r="3">
      <c r="A3" t="inlineStr">
        <is>
          <t>India</t>
        </is>
      </c>
      <c r="B3" t="n">
        <v>2018</v>
      </c>
      <c r="C3" t="inlineStr">
        <is>
          <t>283691</t>
        </is>
      </c>
      <c r="D3" t="inlineStr">
        <is>
          <t>Lithium carbonates</t>
        </is>
      </c>
      <c r="E3" t="inlineStr">
        <is>
          <t>United States</t>
        </is>
      </c>
      <c r="F3" t="inlineStr">
        <is>
          <t>5,029.21</t>
        </is>
      </c>
      <c r="G3" t="inlineStr">
        <is>
          <t>124,803</t>
        </is>
      </c>
      <c r="H3" t="inlineStr">
        <is>
          <t>Kg</t>
        </is>
      </c>
      <c r="I3">
        <f>VALUE(SUBSTITUTE(F3,",",""))*1000</f>
        <v/>
      </c>
      <c r="J3">
        <f>VALUE(SUBSTITUTE(G3,",",""))</f>
        <v/>
      </c>
      <c r="K3">
        <f>E3="World"</f>
        <v/>
      </c>
      <c r="L3">
        <f>IF(J3=0,0,I3/J3)</f>
        <v/>
      </c>
      <c r="M3">
        <f>IF(K3,"",IF(E3="India","Re-import",IF(L3&lt;Lookups!$K$2,"Unit value below floor","")))</f>
        <v/>
      </c>
      <c r="N3">
        <f>IF(AND(NOT(K3),M3=""),1,0)</f>
        <v/>
      </c>
      <c r="O3">
        <f>SUMIFS($I$2:$I$190,$B$2:$B$190,B3,$C$2:$C$190,C3,$N$2:$N$190,1)/SUMIFS($J$2:$J$190,$B$2:$B$190,B3,$C$2:$C$190,C3,$N$2:$N$190,1)</f>
        <v/>
      </c>
      <c r="P3">
        <f>IF(K3,"",IF(M3="Unit value below floor",I3/O3,J3))</f>
        <v/>
      </c>
      <c r="Q3">
        <f>IF(K3,"",P3/1000*VLOOKUP(C3,Lookups!$G$2:$H$3,2,FALSE))</f>
        <v/>
      </c>
    </row>
    <row r="4">
      <c r="A4" t="inlineStr">
        <is>
          <t>India</t>
        </is>
      </c>
      <c r="B4" t="n">
        <v>2018</v>
      </c>
      <c r="C4" t="inlineStr">
        <is>
          <t>283691</t>
        </is>
      </c>
      <c r="D4" t="inlineStr">
        <is>
          <t>Lithium carbonates</t>
        </is>
      </c>
      <c r="E4" t="inlineStr">
        <is>
          <t>Chile</t>
        </is>
      </c>
      <c r="F4" t="inlineStr">
        <is>
          <t>4,042.80</t>
        </is>
      </c>
      <c r="G4" t="inlineStr">
        <is>
          <t>248,400</t>
        </is>
      </c>
      <c r="H4" t="inlineStr">
        <is>
          <t>Kg</t>
        </is>
      </c>
      <c r="I4">
        <f>VALUE(SUBSTITUTE(F4,",",""))*1000</f>
        <v/>
      </c>
      <c r="J4">
        <f>VALUE(SUBSTITUTE(G4,",",""))</f>
        <v/>
      </c>
      <c r="K4">
        <f>E4="World"</f>
        <v/>
      </c>
      <c r="L4">
        <f>IF(J4=0,0,I4/J4)</f>
        <v/>
      </c>
      <c r="M4">
        <f>IF(K4,"",IF(E4="India","Re-import",IF(L4&lt;Lookups!$K$2,"Unit value below floor","")))</f>
        <v/>
      </c>
      <c r="N4">
        <f>IF(AND(NOT(K4),M4=""),1,0)</f>
        <v/>
      </c>
      <c r="O4">
        <f>SUMIFS($I$2:$I$190,$B$2:$B$190,B4,$C$2:$C$190,C4,$N$2:$N$190,1)/SUMIFS($J$2:$J$190,$B$2:$B$190,B4,$C$2:$C$190,C4,$N$2:$N$190,1)</f>
        <v/>
      </c>
      <c r="P4">
        <f>IF(K4,"",IF(M4="Unit value below floor",I4/O4,J4))</f>
        <v/>
      </c>
      <c r="Q4">
        <f>IF(K4,"",P4/1000*VLOOKUP(C4,Lookups!$G$2:$H$3,2,FALSE))</f>
        <v/>
      </c>
    </row>
    <row r="5">
      <c r="A5" t="inlineStr">
        <is>
          <t>India</t>
        </is>
      </c>
      <c r="B5" t="n">
        <v>2018</v>
      </c>
      <c r="C5" t="inlineStr">
        <is>
          <t>283691</t>
        </is>
      </c>
      <c r="D5" t="inlineStr">
        <is>
          <t>Lithium carbonates</t>
        </is>
      </c>
      <c r="E5" t="inlineStr">
        <is>
          <t>Belgium</t>
        </is>
      </c>
      <c r="F5" t="inlineStr">
        <is>
          <t>1,954.25</t>
        </is>
      </c>
      <c r="G5" t="inlineStr">
        <is>
          <t>201,600</t>
        </is>
      </c>
      <c r="H5" t="inlineStr">
        <is>
          <t>Kg</t>
        </is>
      </c>
      <c r="I5">
        <f>VALUE(SUBSTITUTE(F5,",",""))*1000</f>
        <v/>
      </c>
      <c r="J5">
        <f>VALUE(SUBSTITUTE(G5,",",""))</f>
        <v/>
      </c>
      <c r="K5">
        <f>E5="World"</f>
        <v/>
      </c>
      <c r="L5">
        <f>IF(J5=0,0,I5/J5)</f>
        <v/>
      </c>
      <c r="M5">
        <f>IF(K5,"",IF(E5="India","Re-import",IF(L5&lt;Lookups!$K$2,"Unit value below floor","")))</f>
        <v/>
      </c>
      <c r="N5">
        <f>IF(AND(NOT(K5),M5=""),1,0)</f>
        <v/>
      </c>
      <c r="O5">
        <f>SUMIFS($I$2:$I$190,$B$2:$B$190,B5,$C$2:$C$190,C5,$N$2:$N$190,1)/SUMIFS($J$2:$J$190,$B$2:$B$190,B5,$C$2:$C$190,C5,$N$2:$N$190,1)</f>
        <v/>
      </c>
      <c r="P5">
        <f>IF(K5,"",IF(M5="Unit value below floor",I5/O5,J5))</f>
        <v/>
      </c>
      <c r="Q5">
        <f>IF(K5,"",P5/1000*VLOOKUP(C5,Lookups!$G$2:$H$3,2,FALSE))</f>
        <v/>
      </c>
    </row>
    <row r="6">
      <c r="A6" t="inlineStr">
        <is>
          <t>India</t>
        </is>
      </c>
      <c r="B6" t="n">
        <v>2018</v>
      </c>
      <c r="C6" t="inlineStr">
        <is>
          <t>283691</t>
        </is>
      </c>
      <c r="D6" t="inlineStr">
        <is>
          <t>Lithium carbonates</t>
        </is>
      </c>
      <c r="E6" t="inlineStr">
        <is>
          <t>China</t>
        </is>
      </c>
      <c r="F6" t="inlineStr">
        <is>
          <t>1,412.24</t>
        </is>
      </c>
      <c r="G6" t="inlineStr">
        <is>
          <t>115,533</t>
        </is>
      </c>
      <c r="H6" t="inlineStr">
        <is>
          <t>Kg</t>
        </is>
      </c>
      <c r="I6">
        <f>VALUE(SUBSTITUTE(F6,",",""))*1000</f>
        <v/>
      </c>
      <c r="J6">
        <f>VALUE(SUBSTITUTE(G6,",",""))</f>
        <v/>
      </c>
      <c r="K6">
        <f>E6="World"</f>
        <v/>
      </c>
      <c r="L6">
        <f>IF(J6=0,0,I6/J6)</f>
        <v/>
      </c>
      <c r="M6">
        <f>IF(K6,"",IF(E6="India","Re-import",IF(L6&lt;Lookups!$K$2,"Unit value below floor","")))</f>
        <v/>
      </c>
      <c r="N6">
        <f>IF(AND(NOT(K6),M6=""),1,0)</f>
        <v/>
      </c>
      <c r="O6">
        <f>SUMIFS($I$2:$I$190,$B$2:$B$190,B6,$C$2:$C$190,C6,$N$2:$N$190,1)/SUMIFS($J$2:$J$190,$B$2:$B$190,B6,$C$2:$C$190,C6,$N$2:$N$190,1)</f>
        <v/>
      </c>
      <c r="P6">
        <f>IF(K6,"",IF(M6="Unit value below floor",I6/O6,J6))</f>
        <v/>
      </c>
      <c r="Q6">
        <f>IF(K6,"",P6/1000*VLOOKUP(C6,Lookups!$G$2:$H$3,2,FALSE))</f>
        <v/>
      </c>
    </row>
    <row r="7">
      <c r="A7" t="inlineStr">
        <is>
          <t>India</t>
        </is>
      </c>
      <c r="B7" t="n">
        <v>2018</v>
      </c>
      <c r="C7" t="inlineStr">
        <is>
          <t>283691</t>
        </is>
      </c>
      <c r="D7" t="inlineStr">
        <is>
          <t>Lithium carbonates</t>
        </is>
      </c>
      <c r="E7" t="inlineStr">
        <is>
          <t>Slovenia</t>
        </is>
      </c>
      <c r="F7" t="inlineStr">
        <is>
          <t>518.36</t>
        </is>
      </c>
      <c r="G7" t="inlineStr">
        <is>
          <t>12,515</t>
        </is>
      </c>
      <c r="H7" t="inlineStr">
        <is>
          <t>Kg</t>
        </is>
      </c>
      <c r="I7">
        <f>VALUE(SUBSTITUTE(F7,",",""))*1000</f>
        <v/>
      </c>
      <c r="J7">
        <f>VALUE(SUBSTITUTE(G7,",",""))</f>
        <v/>
      </c>
      <c r="K7">
        <f>E7="World"</f>
        <v/>
      </c>
      <c r="L7">
        <f>IF(J7=0,0,I7/J7)</f>
        <v/>
      </c>
      <c r="M7">
        <f>IF(K7,"",IF(E7="India","Re-import",IF(L7&lt;Lookups!$K$2,"Unit value below floor","")))</f>
        <v/>
      </c>
      <c r="N7">
        <f>IF(AND(NOT(K7),M7=""),1,0)</f>
        <v/>
      </c>
      <c r="O7">
        <f>SUMIFS($I$2:$I$190,$B$2:$B$190,B7,$C$2:$C$190,C7,$N$2:$N$190,1)/SUMIFS($J$2:$J$190,$B$2:$B$190,B7,$C$2:$C$190,C7,$N$2:$N$190,1)</f>
        <v/>
      </c>
      <c r="P7">
        <f>IF(K7,"",IF(M7="Unit value below floor",I7/O7,J7))</f>
        <v/>
      </c>
      <c r="Q7">
        <f>IF(K7,"",P7/1000*VLOOKUP(C7,Lookups!$G$2:$H$3,2,FALSE))</f>
        <v/>
      </c>
    </row>
    <row r="8">
      <c r="A8" t="inlineStr">
        <is>
          <t>India</t>
        </is>
      </c>
      <c r="B8" t="n">
        <v>2018</v>
      </c>
      <c r="C8" t="inlineStr">
        <is>
          <t>283691</t>
        </is>
      </c>
      <c r="D8" t="inlineStr">
        <is>
          <t>Lithium carbonates</t>
        </is>
      </c>
      <c r="E8" t="inlineStr">
        <is>
          <t>Argentina</t>
        </is>
      </c>
      <c r="F8" t="inlineStr">
        <is>
          <t>467.65</t>
        </is>
      </c>
      <c r="G8" t="inlineStr">
        <is>
          <t>28,400</t>
        </is>
      </c>
      <c r="H8" t="inlineStr">
        <is>
          <t>Kg</t>
        </is>
      </c>
      <c r="I8">
        <f>VALUE(SUBSTITUTE(F8,",",""))*1000</f>
        <v/>
      </c>
      <c r="J8">
        <f>VALUE(SUBSTITUTE(G8,",",""))</f>
        <v/>
      </c>
      <c r="K8">
        <f>E8="World"</f>
        <v/>
      </c>
      <c r="L8">
        <f>IF(J8=0,0,I8/J8)</f>
        <v/>
      </c>
      <c r="M8">
        <f>IF(K8,"",IF(E8="India","Re-import",IF(L8&lt;Lookups!$K$2,"Unit value below floor","")))</f>
        <v/>
      </c>
      <c r="N8">
        <f>IF(AND(NOT(K8),M8=""),1,0)</f>
        <v/>
      </c>
      <c r="O8">
        <f>SUMIFS($I$2:$I$190,$B$2:$B$190,B8,$C$2:$C$190,C8,$N$2:$N$190,1)/SUMIFS($J$2:$J$190,$B$2:$B$190,B8,$C$2:$C$190,C8,$N$2:$N$190,1)</f>
        <v/>
      </c>
      <c r="P8">
        <f>IF(K8,"",IF(M8="Unit value below floor",I8/O8,J8))</f>
        <v/>
      </c>
      <c r="Q8">
        <f>IF(K8,"",P8/1000*VLOOKUP(C8,Lookups!$G$2:$H$3,2,FALSE))</f>
        <v/>
      </c>
    </row>
    <row r="9">
      <c r="A9" t="inlineStr">
        <is>
          <t>India</t>
        </is>
      </c>
      <c r="B9" t="n">
        <v>2018</v>
      </c>
      <c r="C9" t="inlineStr">
        <is>
          <t>283691</t>
        </is>
      </c>
      <c r="D9" t="inlineStr">
        <is>
          <t>Lithium carbonates</t>
        </is>
      </c>
      <c r="E9" t="inlineStr">
        <is>
          <t>Austria</t>
        </is>
      </c>
      <c r="F9" t="inlineStr">
        <is>
          <t>359.33</t>
        </is>
      </c>
      <c r="G9" t="inlineStr">
        <is>
          <t>9,500</t>
        </is>
      </c>
      <c r="H9" t="inlineStr">
        <is>
          <t>Kg</t>
        </is>
      </c>
      <c r="I9">
        <f>VALUE(SUBSTITUTE(F9,",",""))*1000</f>
        <v/>
      </c>
      <c r="J9">
        <f>VALUE(SUBSTITUTE(G9,",",""))</f>
        <v/>
      </c>
      <c r="K9">
        <f>E9="World"</f>
        <v/>
      </c>
      <c r="L9">
        <f>IF(J9=0,0,I9/J9)</f>
        <v/>
      </c>
      <c r="M9">
        <f>IF(K9,"",IF(E9="India","Re-import",IF(L9&lt;Lookups!$K$2,"Unit value below floor","")))</f>
        <v/>
      </c>
      <c r="N9">
        <f>IF(AND(NOT(K9),M9=""),1,0)</f>
        <v/>
      </c>
      <c r="O9">
        <f>SUMIFS($I$2:$I$190,$B$2:$B$190,B9,$C$2:$C$190,C9,$N$2:$N$190,1)/SUMIFS($J$2:$J$190,$B$2:$B$190,B9,$C$2:$C$190,C9,$N$2:$N$190,1)</f>
        <v/>
      </c>
      <c r="P9">
        <f>IF(K9,"",IF(M9="Unit value below floor",I9/O9,J9))</f>
        <v/>
      </c>
      <c r="Q9">
        <f>IF(K9,"",P9/1000*VLOOKUP(C9,Lookups!$G$2:$H$3,2,FALSE))</f>
        <v/>
      </c>
    </row>
    <row r="10">
      <c r="A10" t="inlineStr">
        <is>
          <t>India</t>
        </is>
      </c>
      <c r="B10" t="n">
        <v>2018</v>
      </c>
      <c r="C10" t="inlineStr">
        <is>
          <t>283691</t>
        </is>
      </c>
      <c r="D10" t="inlineStr">
        <is>
          <t>Lithium carbonates</t>
        </is>
      </c>
      <c r="E10" t="inlineStr">
        <is>
          <t>Ireland</t>
        </is>
      </c>
      <c r="F10" t="inlineStr">
        <is>
          <t>293.69</t>
        </is>
      </c>
      <c r="G10" t="inlineStr">
        <is>
          <t>540,000</t>
        </is>
      </c>
      <c r="H10" t="inlineStr">
        <is>
          <t>Kg</t>
        </is>
      </c>
      <c r="I10">
        <f>VALUE(SUBSTITUTE(F10,",",""))*1000</f>
        <v/>
      </c>
      <c r="J10">
        <f>VALUE(SUBSTITUTE(G10,",",""))</f>
        <v/>
      </c>
      <c r="K10">
        <f>E10="World"</f>
        <v/>
      </c>
      <c r="L10">
        <f>IF(J10=0,0,I10/J10)</f>
        <v/>
      </c>
      <c r="M10">
        <f>IF(K10,"",IF(E10="India","Re-import",IF(L10&lt;Lookups!$K$2,"Unit value below floor","")))</f>
        <v/>
      </c>
      <c r="N10">
        <f>IF(AND(NOT(K10),M10=""),1,0)</f>
        <v/>
      </c>
      <c r="O10">
        <f>SUMIFS($I$2:$I$190,$B$2:$B$190,B10,$C$2:$C$190,C10,$N$2:$N$190,1)/SUMIFS($J$2:$J$190,$B$2:$B$190,B10,$C$2:$C$190,C10,$N$2:$N$190,1)</f>
        <v/>
      </c>
      <c r="P10">
        <f>IF(K10,"",IF(M10="Unit value below floor",I10/O10,J10))</f>
        <v/>
      </c>
      <c r="Q10">
        <f>IF(K10,"",P10/1000*VLOOKUP(C10,Lookups!$G$2:$H$3,2,FALSE))</f>
        <v/>
      </c>
    </row>
    <row r="11">
      <c r="A11" t="inlineStr">
        <is>
          <t>India</t>
        </is>
      </c>
      <c r="B11" t="n">
        <v>2018</v>
      </c>
      <c r="C11" t="inlineStr">
        <is>
          <t>283691</t>
        </is>
      </c>
      <c r="D11" t="inlineStr">
        <is>
          <t>Lithium carbonates</t>
        </is>
      </c>
      <c r="E11" t="inlineStr">
        <is>
          <t>United Kingdom</t>
        </is>
      </c>
      <c r="F11" t="inlineStr">
        <is>
          <t>249.82</t>
        </is>
      </c>
      <c r="G11" t="inlineStr">
        <is>
          <t>150,001</t>
        </is>
      </c>
      <c r="H11" t="inlineStr">
        <is>
          <t>Kg</t>
        </is>
      </c>
      <c r="I11">
        <f>VALUE(SUBSTITUTE(F11,",",""))*1000</f>
        <v/>
      </c>
      <c r="J11">
        <f>VALUE(SUBSTITUTE(G11,",",""))</f>
        <v/>
      </c>
      <c r="K11">
        <f>E11="World"</f>
        <v/>
      </c>
      <c r="L11">
        <f>IF(J11=0,0,I11/J11)</f>
        <v/>
      </c>
      <c r="M11">
        <f>IF(K11,"",IF(E11="India","Re-import",IF(L11&lt;Lookups!$K$2,"Unit value below floor","")))</f>
        <v/>
      </c>
      <c r="N11">
        <f>IF(AND(NOT(K11),M11=""),1,0)</f>
        <v/>
      </c>
      <c r="O11">
        <f>SUMIFS($I$2:$I$190,$B$2:$B$190,B11,$C$2:$C$190,C11,$N$2:$N$190,1)/SUMIFS($J$2:$J$190,$B$2:$B$190,B11,$C$2:$C$190,C11,$N$2:$N$190,1)</f>
        <v/>
      </c>
      <c r="P11">
        <f>IF(K11,"",IF(M11="Unit value below floor",I11/O11,J11))</f>
        <v/>
      </c>
      <c r="Q11">
        <f>IF(K11,"",P11/1000*VLOOKUP(C11,Lookups!$G$2:$H$3,2,FALSE))</f>
        <v/>
      </c>
    </row>
    <row r="12">
      <c r="A12" t="inlineStr">
        <is>
          <t>India</t>
        </is>
      </c>
      <c r="B12" t="n">
        <v>2018</v>
      </c>
      <c r="C12" t="inlineStr">
        <is>
          <t>283691</t>
        </is>
      </c>
      <c r="D12" t="inlineStr">
        <is>
          <t>Lithium carbonates</t>
        </is>
      </c>
      <c r="E12" t="inlineStr">
        <is>
          <t>Singapore</t>
        </is>
      </c>
      <c r="F12" t="inlineStr">
        <is>
          <t>139.15</t>
        </is>
      </c>
      <c r="G12" t="inlineStr">
        <is>
          <t>3,531</t>
        </is>
      </c>
      <c r="H12" t="inlineStr">
        <is>
          <t>Kg</t>
        </is>
      </c>
      <c r="I12">
        <f>VALUE(SUBSTITUTE(F12,",",""))*1000</f>
        <v/>
      </c>
      <c r="J12">
        <f>VALUE(SUBSTITUTE(G12,",",""))</f>
        <v/>
      </c>
      <c r="K12">
        <f>E12="World"</f>
        <v/>
      </c>
      <c r="L12">
        <f>IF(J12=0,0,I12/J12)</f>
        <v/>
      </c>
      <c r="M12">
        <f>IF(K12,"",IF(E12="India","Re-import",IF(L12&lt;Lookups!$K$2,"Unit value below floor","")))</f>
        <v/>
      </c>
      <c r="N12">
        <f>IF(AND(NOT(K12),M12=""),1,0)</f>
        <v/>
      </c>
      <c r="O12">
        <f>SUMIFS($I$2:$I$190,$B$2:$B$190,B12,$C$2:$C$190,C12,$N$2:$N$190,1)/SUMIFS($J$2:$J$190,$B$2:$B$190,B12,$C$2:$C$190,C12,$N$2:$N$190,1)</f>
        <v/>
      </c>
      <c r="P12">
        <f>IF(K12,"",IF(M12="Unit value below floor",I12/O12,J12))</f>
        <v/>
      </c>
      <c r="Q12">
        <f>IF(K12,"",P12/1000*VLOOKUP(C12,Lookups!$G$2:$H$3,2,FALSE))</f>
        <v/>
      </c>
    </row>
    <row r="13">
      <c r="A13" t="inlineStr">
        <is>
          <t>India</t>
        </is>
      </c>
      <c r="B13" t="n">
        <v>2018</v>
      </c>
      <c r="C13" t="inlineStr">
        <is>
          <t>283691</t>
        </is>
      </c>
      <c r="D13" t="inlineStr">
        <is>
          <t>Lithium carbonates</t>
        </is>
      </c>
      <c r="E13" t="inlineStr">
        <is>
          <t>France</t>
        </is>
      </c>
      <c r="F13" t="inlineStr">
        <is>
          <t>118.96</t>
        </is>
      </c>
      <c r="G13" t="inlineStr">
        <is>
          <t>220,000</t>
        </is>
      </c>
      <c r="H13" t="inlineStr">
        <is>
          <t>Kg</t>
        </is>
      </c>
      <c r="I13">
        <f>VALUE(SUBSTITUTE(F13,",",""))*1000</f>
        <v/>
      </c>
      <c r="J13">
        <f>VALUE(SUBSTITUTE(G13,",",""))</f>
        <v/>
      </c>
      <c r="K13">
        <f>E13="World"</f>
        <v/>
      </c>
      <c r="L13">
        <f>IF(J13=0,0,I13/J13)</f>
        <v/>
      </c>
      <c r="M13">
        <f>IF(K13,"",IF(E13="India","Re-import",IF(L13&lt;Lookups!$K$2,"Unit value below floor","")))</f>
        <v/>
      </c>
      <c r="N13">
        <f>IF(AND(NOT(K13),M13=""),1,0)</f>
        <v/>
      </c>
      <c r="O13">
        <f>SUMIFS($I$2:$I$190,$B$2:$B$190,B13,$C$2:$C$190,C13,$N$2:$N$190,1)/SUMIFS($J$2:$J$190,$B$2:$B$190,B13,$C$2:$C$190,C13,$N$2:$N$190,1)</f>
        <v/>
      </c>
      <c r="P13">
        <f>IF(K13,"",IF(M13="Unit value below floor",I13/O13,J13))</f>
        <v/>
      </c>
      <c r="Q13">
        <f>IF(K13,"",P13/1000*VLOOKUP(C13,Lookups!$G$2:$H$3,2,FALSE))</f>
        <v/>
      </c>
    </row>
    <row r="14">
      <c r="A14" t="inlineStr">
        <is>
          <t>India</t>
        </is>
      </c>
      <c r="B14" t="n">
        <v>2018</v>
      </c>
      <c r="C14" t="inlineStr">
        <is>
          <t>283691</t>
        </is>
      </c>
      <c r="D14" t="inlineStr">
        <is>
          <t>Lithium carbonates</t>
        </is>
      </c>
      <c r="E14" t="inlineStr">
        <is>
          <t>Italy</t>
        </is>
      </c>
      <c r="F14" t="inlineStr">
        <is>
          <t>30.64</t>
        </is>
      </c>
      <c r="G14" t="inlineStr">
        <is>
          <t>1,700</t>
        </is>
      </c>
      <c r="H14" t="inlineStr">
        <is>
          <t>Kg</t>
        </is>
      </c>
      <c r="I14">
        <f>VALUE(SUBSTITUTE(F14,",",""))*1000</f>
        <v/>
      </c>
      <c r="J14">
        <f>VALUE(SUBSTITUTE(G14,",",""))</f>
        <v/>
      </c>
      <c r="K14">
        <f>E14="World"</f>
        <v/>
      </c>
      <c r="L14">
        <f>IF(J14=0,0,I14/J14)</f>
        <v/>
      </c>
      <c r="M14">
        <f>IF(K14,"",IF(E14="India","Re-import",IF(L14&lt;Lookups!$K$2,"Unit value below floor","")))</f>
        <v/>
      </c>
      <c r="N14">
        <f>IF(AND(NOT(K14),M14=""),1,0)</f>
        <v/>
      </c>
      <c r="O14">
        <f>SUMIFS($I$2:$I$190,$B$2:$B$190,B14,$C$2:$C$190,C14,$N$2:$N$190,1)/SUMIFS($J$2:$J$190,$B$2:$B$190,B14,$C$2:$C$190,C14,$N$2:$N$190,1)</f>
        <v/>
      </c>
      <c r="P14">
        <f>IF(K14,"",IF(M14="Unit value below floor",I14/O14,J14))</f>
        <v/>
      </c>
      <c r="Q14">
        <f>IF(K14,"",P14/1000*VLOOKUP(C14,Lookups!$G$2:$H$3,2,FALSE))</f>
        <v/>
      </c>
    </row>
    <row r="15">
      <c r="A15" t="inlineStr">
        <is>
          <t>India</t>
        </is>
      </c>
      <c r="B15" t="n">
        <v>2018</v>
      </c>
      <c r="C15" t="inlineStr">
        <is>
          <t>283691</t>
        </is>
      </c>
      <c r="D15" t="inlineStr">
        <is>
          <t>Lithium carbonates</t>
        </is>
      </c>
      <c r="E15" t="inlineStr">
        <is>
          <t>Japan</t>
        </is>
      </c>
      <c r="F15" t="inlineStr">
        <is>
          <t>5.11</t>
        </is>
      </c>
      <c r="G15" t="inlineStr">
        <is>
          <t>280</t>
        </is>
      </c>
      <c r="H15" t="inlineStr">
        <is>
          <t>Kg</t>
        </is>
      </c>
      <c r="I15">
        <f>VALUE(SUBSTITUTE(F15,",",""))*1000</f>
        <v/>
      </c>
      <c r="J15">
        <f>VALUE(SUBSTITUTE(G15,",",""))</f>
        <v/>
      </c>
      <c r="K15">
        <f>E15="World"</f>
        <v/>
      </c>
      <c r="L15">
        <f>IF(J15=0,0,I15/J15)</f>
        <v/>
      </c>
      <c r="M15">
        <f>IF(K15,"",IF(E15="India","Re-import",IF(L15&lt;Lookups!$K$2,"Unit value below floor","")))</f>
        <v/>
      </c>
      <c r="N15">
        <f>IF(AND(NOT(K15),M15=""),1,0)</f>
        <v/>
      </c>
      <c r="O15">
        <f>SUMIFS($I$2:$I$190,$B$2:$B$190,B15,$C$2:$C$190,C15,$N$2:$N$190,1)/SUMIFS($J$2:$J$190,$B$2:$B$190,B15,$C$2:$C$190,C15,$N$2:$N$190,1)</f>
        <v/>
      </c>
      <c r="P15">
        <f>IF(K15,"",IF(M15="Unit value below floor",I15/O15,J15))</f>
        <v/>
      </c>
      <c r="Q15">
        <f>IF(K15,"",P15/1000*VLOOKUP(C15,Lookups!$G$2:$H$3,2,FALSE))</f>
        <v/>
      </c>
    </row>
    <row r="16">
      <c r="A16" t="inlineStr">
        <is>
          <t>India</t>
        </is>
      </c>
      <c r="B16" t="n">
        <v>2018</v>
      </c>
      <c r="C16" t="inlineStr">
        <is>
          <t>283691</t>
        </is>
      </c>
      <c r="D16" t="inlineStr">
        <is>
          <t>Lithium carbonates</t>
        </is>
      </c>
      <c r="E16" t="inlineStr">
        <is>
          <t>Germany</t>
        </is>
      </c>
      <c r="F16" t="inlineStr">
        <is>
          <t>1.09</t>
        </is>
      </c>
      <c r="G16" t="inlineStr">
        <is>
          <t>58</t>
        </is>
      </c>
      <c r="H16" t="inlineStr">
        <is>
          <t>Kg</t>
        </is>
      </c>
      <c r="I16">
        <f>VALUE(SUBSTITUTE(F16,",",""))*1000</f>
        <v/>
      </c>
      <c r="J16">
        <f>VALUE(SUBSTITUTE(G16,",",""))</f>
        <v/>
      </c>
      <c r="K16">
        <f>E16="World"</f>
        <v/>
      </c>
      <c r="L16">
        <f>IF(J16=0,0,I16/J16)</f>
        <v/>
      </c>
      <c r="M16">
        <f>IF(K16,"",IF(E16="India","Re-import",IF(L16&lt;Lookups!$K$2,"Unit value below floor","")))</f>
        <v/>
      </c>
      <c r="N16">
        <f>IF(AND(NOT(K16),M16=""),1,0)</f>
        <v/>
      </c>
      <c r="O16">
        <f>SUMIFS($I$2:$I$190,$B$2:$B$190,B16,$C$2:$C$190,C16,$N$2:$N$190,1)/SUMIFS($J$2:$J$190,$B$2:$B$190,B16,$C$2:$C$190,C16,$N$2:$N$190,1)</f>
        <v/>
      </c>
      <c r="P16">
        <f>IF(K16,"",IF(M16="Unit value below floor",I16/O16,J16))</f>
        <v/>
      </c>
      <c r="Q16">
        <f>IF(K16,"",P16/1000*VLOOKUP(C16,Lookups!$G$2:$H$3,2,FALSE))</f>
        <v/>
      </c>
    </row>
    <row r="17">
      <c r="A17" t="inlineStr">
        <is>
          <t>India</t>
        </is>
      </c>
      <c r="B17" t="n">
        <v>2019</v>
      </c>
      <c r="C17" t="inlineStr">
        <is>
          <t>283691</t>
        </is>
      </c>
      <c r="D17" t="inlineStr">
        <is>
          <t>Lithium carbonates</t>
        </is>
      </c>
      <c r="E17" t="inlineStr">
        <is>
          <t>World</t>
        </is>
      </c>
      <c r="F17" t="inlineStr">
        <is>
          <t>12,713.28</t>
        </is>
      </c>
      <c r="G17" t="inlineStr">
        <is>
          <t>1,297,650</t>
        </is>
      </c>
      <c r="H17" t="inlineStr">
        <is>
          <t>Kg</t>
        </is>
      </c>
      <c r="I17">
        <f>VALUE(SUBSTITUTE(F17,",",""))*1000</f>
        <v/>
      </c>
      <c r="J17">
        <f>VALUE(SUBSTITUTE(G17,",",""))</f>
        <v/>
      </c>
      <c r="K17">
        <f>E17="World"</f>
        <v/>
      </c>
      <c r="L17">
        <f>IF(J17=0,0,I17/J17)</f>
        <v/>
      </c>
      <c r="M17">
        <f>IF(K17,"",IF(E17="India","Re-import",IF(L17&lt;Lookups!$K$2,"Unit value below floor","")))</f>
        <v/>
      </c>
      <c r="N17">
        <f>IF(AND(NOT(K17),M17=""),1,0)</f>
        <v/>
      </c>
      <c r="O17">
        <f>SUMIFS($I$2:$I$190,$B$2:$B$190,B17,$C$2:$C$190,C17,$N$2:$N$190,1)/SUMIFS($J$2:$J$190,$B$2:$B$190,B17,$C$2:$C$190,C17,$N$2:$N$190,1)</f>
        <v/>
      </c>
      <c r="P17">
        <f>IF(K17,"",IF(M17="Unit value below floor",I17/O17,J17))</f>
        <v/>
      </c>
      <c r="Q17">
        <f>IF(K17,"",P17/1000*VLOOKUP(C17,Lookups!$G$2:$H$3,2,FALSE))</f>
        <v/>
      </c>
    </row>
    <row r="18">
      <c r="A18" t="inlineStr">
        <is>
          <t>India</t>
        </is>
      </c>
      <c r="B18" t="n">
        <v>2019</v>
      </c>
      <c r="C18" t="inlineStr">
        <is>
          <t>283691</t>
        </is>
      </c>
      <c r="D18" t="inlineStr">
        <is>
          <t>Lithium carbonates</t>
        </is>
      </c>
      <c r="E18" t="inlineStr">
        <is>
          <t>United States</t>
        </is>
      </c>
      <c r="F18" t="inlineStr">
        <is>
          <t>4,229.08</t>
        </is>
      </c>
      <c r="G18" t="inlineStr">
        <is>
          <t>150,756</t>
        </is>
      </c>
      <c r="H18" t="inlineStr">
        <is>
          <t>Kg</t>
        </is>
      </c>
      <c r="I18">
        <f>VALUE(SUBSTITUTE(F18,",",""))*1000</f>
        <v/>
      </c>
      <c r="J18">
        <f>VALUE(SUBSTITUTE(G18,",",""))</f>
        <v/>
      </c>
      <c r="K18">
        <f>E18="World"</f>
        <v/>
      </c>
      <c r="L18">
        <f>IF(J18=0,0,I18/J18)</f>
        <v/>
      </c>
      <c r="M18">
        <f>IF(K18,"",IF(E18="India","Re-import",IF(L18&lt;Lookups!$K$2,"Unit value below floor","")))</f>
        <v/>
      </c>
      <c r="N18">
        <f>IF(AND(NOT(K18),M18=""),1,0)</f>
        <v/>
      </c>
      <c r="O18">
        <f>SUMIFS($I$2:$I$190,$B$2:$B$190,B18,$C$2:$C$190,C18,$N$2:$N$190,1)/SUMIFS($J$2:$J$190,$B$2:$B$190,B18,$C$2:$C$190,C18,$N$2:$N$190,1)</f>
        <v/>
      </c>
      <c r="P18">
        <f>IF(K18,"",IF(M18="Unit value below floor",I18/O18,J18))</f>
        <v/>
      </c>
      <c r="Q18">
        <f>IF(K18,"",P18/1000*VLOOKUP(C18,Lookups!$G$2:$H$3,2,FALSE))</f>
        <v/>
      </c>
    </row>
    <row r="19">
      <c r="A19" t="inlineStr">
        <is>
          <t>India</t>
        </is>
      </c>
      <c r="B19" t="n">
        <v>2019</v>
      </c>
      <c r="C19" t="inlineStr">
        <is>
          <t>283691</t>
        </is>
      </c>
      <c r="D19" t="inlineStr">
        <is>
          <t>Lithium carbonates</t>
        </is>
      </c>
      <c r="E19" t="inlineStr">
        <is>
          <t>Belgium</t>
        </is>
      </c>
      <c r="F19" t="inlineStr">
        <is>
          <t>2,746.20</t>
        </is>
      </c>
      <c r="G19" t="inlineStr">
        <is>
          <t>204,550</t>
        </is>
      </c>
      <c r="H19" t="inlineStr">
        <is>
          <t>Kg</t>
        </is>
      </c>
      <c r="I19">
        <f>VALUE(SUBSTITUTE(F19,",",""))*1000</f>
        <v/>
      </c>
      <c r="J19">
        <f>VALUE(SUBSTITUTE(G19,",",""))</f>
        <v/>
      </c>
      <c r="K19">
        <f>E19="World"</f>
        <v/>
      </c>
      <c r="L19">
        <f>IF(J19=0,0,I19/J19)</f>
        <v/>
      </c>
      <c r="M19">
        <f>IF(K19,"",IF(E19="India","Re-import",IF(L19&lt;Lookups!$K$2,"Unit value below floor","")))</f>
        <v/>
      </c>
      <c r="N19">
        <f>IF(AND(NOT(K19),M19=""),1,0)</f>
        <v/>
      </c>
      <c r="O19">
        <f>SUMIFS($I$2:$I$190,$B$2:$B$190,B19,$C$2:$C$190,C19,$N$2:$N$190,1)/SUMIFS($J$2:$J$190,$B$2:$B$190,B19,$C$2:$C$190,C19,$N$2:$N$190,1)</f>
        <v/>
      </c>
      <c r="P19">
        <f>IF(K19,"",IF(M19="Unit value below floor",I19/O19,J19))</f>
        <v/>
      </c>
      <c r="Q19">
        <f>IF(K19,"",P19/1000*VLOOKUP(C19,Lookups!$G$2:$H$3,2,FALSE))</f>
        <v/>
      </c>
    </row>
    <row r="20">
      <c r="A20" t="inlineStr">
        <is>
          <t>India</t>
        </is>
      </c>
      <c r="B20" t="n">
        <v>2019</v>
      </c>
      <c r="C20" t="inlineStr">
        <is>
          <t>283691</t>
        </is>
      </c>
      <c r="D20" t="inlineStr">
        <is>
          <t>Lithium carbonates</t>
        </is>
      </c>
      <c r="E20" t="inlineStr">
        <is>
          <t>Chile</t>
        </is>
      </c>
      <c r="F20" t="inlineStr">
        <is>
          <t>1,913.46</t>
        </is>
      </c>
      <c r="G20" t="inlineStr">
        <is>
          <t>121,000</t>
        </is>
      </c>
      <c r="H20" t="inlineStr">
        <is>
          <t>Kg</t>
        </is>
      </c>
      <c r="I20">
        <f>VALUE(SUBSTITUTE(F20,",",""))*1000</f>
        <v/>
      </c>
      <c r="J20">
        <f>VALUE(SUBSTITUTE(G20,",",""))</f>
        <v/>
      </c>
      <c r="K20">
        <f>E20="World"</f>
        <v/>
      </c>
      <c r="L20">
        <f>IF(J20=0,0,I20/J20)</f>
        <v/>
      </c>
      <c r="M20">
        <f>IF(K20,"",IF(E20="India","Re-import",IF(L20&lt;Lookups!$K$2,"Unit value below floor","")))</f>
        <v/>
      </c>
      <c r="N20">
        <f>IF(AND(NOT(K20),M20=""),1,0)</f>
        <v/>
      </c>
      <c r="O20">
        <f>SUMIFS($I$2:$I$190,$B$2:$B$190,B20,$C$2:$C$190,C20,$N$2:$N$190,1)/SUMIFS($J$2:$J$190,$B$2:$B$190,B20,$C$2:$C$190,C20,$N$2:$N$190,1)</f>
        <v/>
      </c>
      <c r="P20">
        <f>IF(K20,"",IF(M20="Unit value below floor",I20/O20,J20))</f>
        <v/>
      </c>
      <c r="Q20">
        <f>IF(K20,"",P20/1000*VLOOKUP(C20,Lookups!$G$2:$H$3,2,FALSE))</f>
        <v/>
      </c>
    </row>
    <row r="21">
      <c r="A21" t="inlineStr">
        <is>
          <t>India</t>
        </is>
      </c>
      <c r="B21" t="n">
        <v>2019</v>
      </c>
      <c r="C21" t="inlineStr">
        <is>
          <t>283691</t>
        </is>
      </c>
      <c r="D21" t="inlineStr">
        <is>
          <t>Lithium carbonates</t>
        </is>
      </c>
      <c r="E21" t="inlineStr">
        <is>
          <t>China</t>
        </is>
      </c>
      <c r="F21" t="inlineStr">
        <is>
          <t>1,222.13</t>
        </is>
      </c>
      <c r="G21" t="inlineStr">
        <is>
          <t>103,500</t>
        </is>
      </c>
      <c r="H21" t="inlineStr">
        <is>
          <t>Kg</t>
        </is>
      </c>
      <c r="I21">
        <f>VALUE(SUBSTITUTE(F21,",",""))*1000</f>
        <v/>
      </c>
      <c r="J21">
        <f>VALUE(SUBSTITUTE(G21,",",""))</f>
        <v/>
      </c>
      <c r="K21">
        <f>E21="World"</f>
        <v/>
      </c>
      <c r="L21">
        <f>IF(J21=0,0,I21/J21)</f>
        <v/>
      </c>
      <c r="M21">
        <f>IF(K21,"",IF(E21="India","Re-import",IF(L21&lt;Lookups!$K$2,"Unit value below floor","")))</f>
        <v/>
      </c>
      <c r="N21">
        <f>IF(AND(NOT(K21),M21=""),1,0)</f>
        <v/>
      </c>
      <c r="O21">
        <f>SUMIFS($I$2:$I$190,$B$2:$B$190,B21,$C$2:$C$190,C21,$N$2:$N$190,1)/SUMIFS($J$2:$J$190,$B$2:$B$190,B21,$C$2:$C$190,C21,$N$2:$N$190,1)</f>
        <v/>
      </c>
      <c r="P21">
        <f>IF(K21,"",IF(M21="Unit value below floor",I21/O21,J21))</f>
        <v/>
      </c>
      <c r="Q21">
        <f>IF(K21,"",P21/1000*VLOOKUP(C21,Lookups!$G$2:$H$3,2,FALSE))</f>
        <v/>
      </c>
    </row>
    <row r="22">
      <c r="A22" t="inlineStr">
        <is>
          <t>India</t>
        </is>
      </c>
      <c r="B22" t="n">
        <v>2019</v>
      </c>
      <c r="C22" t="inlineStr">
        <is>
          <t>283691</t>
        </is>
      </c>
      <c r="D22" t="inlineStr">
        <is>
          <t>Lithium carbonates</t>
        </is>
      </c>
      <c r="E22" t="inlineStr">
        <is>
          <t>Singapore</t>
        </is>
      </c>
      <c r="F22" t="inlineStr">
        <is>
          <t>592.93</t>
        </is>
      </c>
      <c r="G22" t="inlineStr">
        <is>
          <t>16,000</t>
        </is>
      </c>
      <c r="H22" t="inlineStr">
        <is>
          <t>Kg</t>
        </is>
      </c>
      <c r="I22">
        <f>VALUE(SUBSTITUTE(F22,",",""))*1000</f>
        <v/>
      </c>
      <c r="J22">
        <f>VALUE(SUBSTITUTE(G22,",",""))</f>
        <v/>
      </c>
      <c r="K22">
        <f>E22="World"</f>
        <v/>
      </c>
      <c r="L22">
        <f>IF(J22=0,0,I22/J22)</f>
        <v/>
      </c>
      <c r="M22">
        <f>IF(K22,"",IF(E22="India","Re-import",IF(L22&lt;Lookups!$K$2,"Unit value below floor","")))</f>
        <v/>
      </c>
      <c r="N22">
        <f>IF(AND(NOT(K22),M22=""),1,0)</f>
        <v/>
      </c>
      <c r="O22">
        <f>SUMIFS($I$2:$I$190,$B$2:$B$190,B22,$C$2:$C$190,C22,$N$2:$N$190,1)/SUMIFS($J$2:$J$190,$B$2:$B$190,B22,$C$2:$C$190,C22,$N$2:$N$190,1)</f>
        <v/>
      </c>
      <c r="P22">
        <f>IF(K22,"",IF(M22="Unit value below floor",I22/O22,J22))</f>
        <v/>
      </c>
      <c r="Q22">
        <f>IF(K22,"",P22/1000*VLOOKUP(C22,Lookups!$G$2:$H$3,2,FALSE))</f>
        <v/>
      </c>
    </row>
    <row r="23">
      <c r="A23" t="inlineStr">
        <is>
          <t>India</t>
        </is>
      </c>
      <c r="B23" t="n">
        <v>2019</v>
      </c>
      <c r="C23" t="inlineStr">
        <is>
          <t>283691</t>
        </is>
      </c>
      <c r="D23" t="inlineStr">
        <is>
          <t>Lithium carbonates</t>
        </is>
      </c>
      <c r="E23" t="inlineStr">
        <is>
          <t>Slovenia</t>
        </is>
      </c>
      <c r="F23" t="inlineStr">
        <is>
          <t>591.17</t>
        </is>
      </c>
      <c r="G23" t="inlineStr">
        <is>
          <t>14,000</t>
        </is>
      </c>
      <c r="H23" t="inlineStr">
        <is>
          <t>Kg</t>
        </is>
      </c>
      <c r="I23">
        <f>VALUE(SUBSTITUTE(F23,",",""))*1000</f>
        <v/>
      </c>
      <c r="J23">
        <f>VALUE(SUBSTITUTE(G23,",",""))</f>
        <v/>
      </c>
      <c r="K23">
        <f>E23="World"</f>
        <v/>
      </c>
      <c r="L23">
        <f>IF(J23=0,0,I23/J23)</f>
        <v/>
      </c>
      <c r="M23">
        <f>IF(K23,"",IF(E23="India","Re-import",IF(L23&lt;Lookups!$K$2,"Unit value below floor","")))</f>
        <v/>
      </c>
      <c r="N23">
        <f>IF(AND(NOT(K23),M23=""),1,0)</f>
        <v/>
      </c>
      <c r="O23">
        <f>SUMIFS($I$2:$I$190,$B$2:$B$190,B23,$C$2:$C$190,C23,$N$2:$N$190,1)/SUMIFS($J$2:$J$190,$B$2:$B$190,B23,$C$2:$C$190,C23,$N$2:$N$190,1)</f>
        <v/>
      </c>
      <c r="P23">
        <f>IF(K23,"",IF(M23="Unit value below floor",I23/O23,J23))</f>
        <v/>
      </c>
      <c r="Q23">
        <f>IF(K23,"",P23/1000*VLOOKUP(C23,Lookups!$G$2:$H$3,2,FALSE))</f>
        <v/>
      </c>
    </row>
    <row r="24">
      <c r="A24" t="inlineStr">
        <is>
          <t>India</t>
        </is>
      </c>
      <c r="B24" t="n">
        <v>2019</v>
      </c>
      <c r="C24" t="inlineStr">
        <is>
          <t>283691</t>
        </is>
      </c>
      <c r="D24" t="inlineStr">
        <is>
          <t>Lithium carbonates</t>
        </is>
      </c>
      <c r="E24" t="inlineStr">
        <is>
          <t>Argentina</t>
        </is>
      </c>
      <c r="F24" t="inlineStr">
        <is>
          <t>537.89</t>
        </is>
      </c>
      <c r="G24" t="inlineStr">
        <is>
          <t>44,000</t>
        </is>
      </c>
      <c r="H24" t="inlineStr">
        <is>
          <t>Kg</t>
        </is>
      </c>
      <c r="I24">
        <f>VALUE(SUBSTITUTE(F24,",",""))*1000</f>
        <v/>
      </c>
      <c r="J24">
        <f>VALUE(SUBSTITUTE(G24,",",""))</f>
        <v/>
      </c>
      <c r="K24">
        <f>E24="World"</f>
        <v/>
      </c>
      <c r="L24">
        <f>IF(J24=0,0,I24/J24)</f>
        <v/>
      </c>
      <c r="M24">
        <f>IF(K24,"",IF(E24="India","Re-import",IF(L24&lt;Lookups!$K$2,"Unit value below floor","")))</f>
        <v/>
      </c>
      <c r="N24">
        <f>IF(AND(NOT(K24),M24=""),1,0)</f>
        <v/>
      </c>
      <c r="O24">
        <f>SUMIFS($I$2:$I$190,$B$2:$B$190,B24,$C$2:$C$190,C24,$N$2:$N$190,1)/SUMIFS($J$2:$J$190,$B$2:$B$190,B24,$C$2:$C$190,C24,$N$2:$N$190,1)</f>
        <v/>
      </c>
      <c r="P24">
        <f>IF(K24,"",IF(M24="Unit value below floor",I24/O24,J24))</f>
        <v/>
      </c>
      <c r="Q24">
        <f>IF(K24,"",P24/1000*VLOOKUP(C24,Lookups!$G$2:$H$3,2,FALSE))</f>
        <v/>
      </c>
    </row>
    <row r="25">
      <c r="A25" t="inlineStr">
        <is>
          <t>India</t>
        </is>
      </c>
      <c r="B25" t="n">
        <v>2019</v>
      </c>
      <c r="C25" t="inlineStr">
        <is>
          <t>283691</t>
        </is>
      </c>
      <c r="D25" t="inlineStr">
        <is>
          <t>Lithium carbonates</t>
        </is>
      </c>
      <c r="E25" t="inlineStr">
        <is>
          <t>United Kingdom</t>
        </is>
      </c>
      <c r="F25" t="inlineStr">
        <is>
          <t>348.99</t>
        </is>
      </c>
      <c r="G25" t="inlineStr">
        <is>
          <t>30,005</t>
        </is>
      </c>
      <c r="H25" t="inlineStr">
        <is>
          <t>Kg</t>
        </is>
      </c>
      <c r="I25">
        <f>VALUE(SUBSTITUTE(F25,",",""))*1000</f>
        <v/>
      </c>
      <c r="J25">
        <f>VALUE(SUBSTITUTE(G25,",",""))</f>
        <v/>
      </c>
      <c r="K25">
        <f>E25="World"</f>
        <v/>
      </c>
      <c r="L25">
        <f>IF(J25=0,0,I25/J25)</f>
        <v/>
      </c>
      <c r="M25">
        <f>IF(K25,"",IF(E25="India","Re-import",IF(L25&lt;Lookups!$K$2,"Unit value below floor","")))</f>
        <v/>
      </c>
      <c r="N25">
        <f>IF(AND(NOT(K25),M25=""),1,0)</f>
        <v/>
      </c>
      <c r="O25">
        <f>SUMIFS($I$2:$I$190,$B$2:$B$190,B25,$C$2:$C$190,C25,$N$2:$N$190,1)/SUMIFS($J$2:$J$190,$B$2:$B$190,B25,$C$2:$C$190,C25,$N$2:$N$190,1)</f>
        <v/>
      </c>
      <c r="P25">
        <f>IF(K25,"",IF(M25="Unit value below floor",I25/O25,J25))</f>
        <v/>
      </c>
      <c r="Q25">
        <f>IF(K25,"",P25/1000*VLOOKUP(C25,Lookups!$G$2:$H$3,2,FALSE))</f>
        <v/>
      </c>
    </row>
    <row r="26">
      <c r="A26" t="inlineStr">
        <is>
          <t>India</t>
        </is>
      </c>
      <c r="B26" t="n">
        <v>2019</v>
      </c>
      <c r="C26" t="inlineStr">
        <is>
          <t>283691</t>
        </is>
      </c>
      <c r="D26" t="inlineStr">
        <is>
          <t>Lithium carbonates</t>
        </is>
      </c>
      <c r="E26" t="inlineStr">
        <is>
          <t>Netherlands</t>
        </is>
      </c>
      <c r="F26" t="inlineStr">
        <is>
          <t>204.15</t>
        </is>
      </c>
      <c r="G26" t="inlineStr">
        <is>
          <t>400,000</t>
        </is>
      </c>
      <c r="H26" t="inlineStr">
        <is>
          <t>Kg</t>
        </is>
      </c>
      <c r="I26">
        <f>VALUE(SUBSTITUTE(F26,",",""))*1000</f>
        <v/>
      </c>
      <c r="J26">
        <f>VALUE(SUBSTITUTE(G26,",",""))</f>
        <v/>
      </c>
      <c r="K26">
        <f>E26="World"</f>
        <v/>
      </c>
      <c r="L26">
        <f>IF(J26=0,0,I26/J26)</f>
        <v/>
      </c>
      <c r="M26">
        <f>IF(K26,"",IF(E26="India","Re-import",IF(L26&lt;Lookups!$K$2,"Unit value below floor","")))</f>
        <v/>
      </c>
      <c r="N26">
        <f>IF(AND(NOT(K26),M26=""),1,0)</f>
        <v/>
      </c>
      <c r="O26">
        <f>SUMIFS($I$2:$I$190,$B$2:$B$190,B26,$C$2:$C$190,C26,$N$2:$N$190,1)/SUMIFS($J$2:$J$190,$B$2:$B$190,B26,$C$2:$C$190,C26,$N$2:$N$190,1)</f>
        <v/>
      </c>
      <c r="P26">
        <f>IF(K26,"",IF(M26="Unit value below floor",I26/O26,J26))</f>
        <v/>
      </c>
      <c r="Q26">
        <f>IF(K26,"",P26/1000*VLOOKUP(C26,Lookups!$G$2:$H$3,2,FALSE))</f>
        <v/>
      </c>
    </row>
    <row r="27">
      <c r="A27" t="inlineStr">
        <is>
          <t>India</t>
        </is>
      </c>
      <c r="B27" t="n">
        <v>2019</v>
      </c>
      <c r="C27" t="inlineStr">
        <is>
          <t>283691</t>
        </is>
      </c>
      <c r="D27" t="inlineStr">
        <is>
          <t>Lithium carbonates</t>
        </is>
      </c>
      <c r="E27" t="inlineStr">
        <is>
          <t>Japan</t>
        </is>
      </c>
      <c r="F27" t="inlineStr">
        <is>
          <t>173.06</t>
        </is>
      </c>
      <c r="G27" t="inlineStr">
        <is>
          <t>12,000</t>
        </is>
      </c>
      <c r="H27" t="inlineStr">
        <is>
          <t>Kg</t>
        </is>
      </c>
      <c r="I27">
        <f>VALUE(SUBSTITUTE(F27,",",""))*1000</f>
        <v/>
      </c>
      <c r="J27">
        <f>VALUE(SUBSTITUTE(G27,",",""))</f>
        <v/>
      </c>
      <c r="K27">
        <f>E27="World"</f>
        <v/>
      </c>
      <c r="L27">
        <f>IF(J27=0,0,I27/J27)</f>
        <v/>
      </c>
      <c r="M27">
        <f>IF(K27,"",IF(E27="India","Re-import",IF(L27&lt;Lookups!$K$2,"Unit value below floor","")))</f>
        <v/>
      </c>
      <c r="N27">
        <f>IF(AND(NOT(K27),M27=""),1,0)</f>
        <v/>
      </c>
      <c r="O27">
        <f>SUMIFS($I$2:$I$190,$B$2:$B$190,B27,$C$2:$C$190,C27,$N$2:$N$190,1)/SUMIFS($J$2:$J$190,$B$2:$B$190,B27,$C$2:$C$190,C27,$N$2:$N$190,1)</f>
        <v/>
      </c>
      <c r="P27">
        <f>IF(K27,"",IF(M27="Unit value below floor",I27/O27,J27))</f>
        <v/>
      </c>
      <c r="Q27">
        <f>IF(K27,"",P27/1000*VLOOKUP(C27,Lookups!$G$2:$H$3,2,FALSE))</f>
        <v/>
      </c>
    </row>
    <row r="28">
      <c r="A28" t="inlineStr">
        <is>
          <t>India</t>
        </is>
      </c>
      <c r="B28" t="n">
        <v>2019</v>
      </c>
      <c r="C28" t="inlineStr">
        <is>
          <t>283691</t>
        </is>
      </c>
      <c r="D28" t="inlineStr">
        <is>
          <t>Lithium carbonates</t>
        </is>
      </c>
      <c r="E28" t="inlineStr">
        <is>
          <t>Ireland</t>
        </is>
      </c>
      <c r="F28" t="inlineStr">
        <is>
          <t>106.93</t>
        </is>
      </c>
      <c r="G28" t="inlineStr">
        <is>
          <t>200,000</t>
        </is>
      </c>
      <c r="H28" t="inlineStr">
        <is>
          <t>Kg</t>
        </is>
      </c>
      <c r="I28">
        <f>VALUE(SUBSTITUTE(F28,",",""))*1000</f>
        <v/>
      </c>
      <c r="J28">
        <f>VALUE(SUBSTITUTE(G28,",",""))</f>
        <v/>
      </c>
      <c r="K28">
        <f>E28="World"</f>
        <v/>
      </c>
      <c r="L28">
        <f>IF(J28=0,0,I28/J28)</f>
        <v/>
      </c>
      <c r="M28">
        <f>IF(K28,"",IF(E28="India","Re-import",IF(L28&lt;Lookups!$K$2,"Unit value below floor","")))</f>
        <v/>
      </c>
      <c r="N28">
        <f>IF(AND(NOT(K28),M28=""),1,0)</f>
        <v/>
      </c>
      <c r="O28">
        <f>SUMIFS($I$2:$I$190,$B$2:$B$190,B28,$C$2:$C$190,C28,$N$2:$N$190,1)/SUMIFS($J$2:$J$190,$B$2:$B$190,B28,$C$2:$C$190,C28,$N$2:$N$190,1)</f>
        <v/>
      </c>
      <c r="P28">
        <f>IF(K28,"",IF(M28="Unit value below floor",I28/O28,J28))</f>
        <v/>
      </c>
      <c r="Q28">
        <f>IF(K28,"",P28/1000*VLOOKUP(C28,Lookups!$G$2:$H$3,2,FALSE))</f>
        <v/>
      </c>
    </row>
    <row r="29">
      <c r="A29" t="inlineStr">
        <is>
          <t>India</t>
        </is>
      </c>
      <c r="B29" t="n">
        <v>2019</v>
      </c>
      <c r="C29" t="inlineStr">
        <is>
          <t>283691</t>
        </is>
      </c>
      <c r="D29" t="inlineStr">
        <is>
          <t>Lithium carbonates</t>
        </is>
      </c>
      <c r="E29" t="inlineStr">
        <is>
          <t>Italy</t>
        </is>
      </c>
      <c r="F29" t="inlineStr">
        <is>
          <t>29.29</t>
        </is>
      </c>
      <c r="G29" t="inlineStr">
        <is>
          <t>1,500</t>
        </is>
      </c>
      <c r="H29" t="inlineStr">
        <is>
          <t>Kg</t>
        </is>
      </c>
      <c r="I29">
        <f>VALUE(SUBSTITUTE(F29,",",""))*1000</f>
        <v/>
      </c>
      <c r="J29">
        <f>VALUE(SUBSTITUTE(G29,",",""))</f>
        <v/>
      </c>
      <c r="K29">
        <f>E29="World"</f>
        <v/>
      </c>
      <c r="L29">
        <f>IF(J29=0,0,I29/J29)</f>
        <v/>
      </c>
      <c r="M29">
        <f>IF(K29,"",IF(E29="India","Re-import",IF(L29&lt;Lookups!$K$2,"Unit value below floor","")))</f>
        <v/>
      </c>
      <c r="N29">
        <f>IF(AND(NOT(K29),M29=""),1,0)</f>
        <v/>
      </c>
      <c r="O29">
        <f>SUMIFS($I$2:$I$190,$B$2:$B$190,B29,$C$2:$C$190,C29,$N$2:$N$190,1)/SUMIFS($J$2:$J$190,$B$2:$B$190,B29,$C$2:$C$190,C29,$N$2:$N$190,1)</f>
        <v/>
      </c>
      <c r="P29">
        <f>IF(K29,"",IF(M29="Unit value below floor",I29/O29,J29))</f>
        <v/>
      </c>
      <c r="Q29">
        <f>IF(K29,"",P29/1000*VLOOKUP(C29,Lookups!$G$2:$H$3,2,FALSE))</f>
        <v/>
      </c>
    </row>
    <row r="30">
      <c r="A30" t="inlineStr">
        <is>
          <t>India</t>
        </is>
      </c>
      <c r="B30" t="n">
        <v>2019</v>
      </c>
      <c r="C30" t="inlineStr">
        <is>
          <t>283691</t>
        </is>
      </c>
      <c r="D30" t="inlineStr">
        <is>
          <t>Lithium carbonates</t>
        </is>
      </c>
      <c r="E30" t="inlineStr">
        <is>
          <t>Malaysia</t>
        </is>
      </c>
      <c r="F30" t="inlineStr">
        <is>
          <t>16.23</t>
        </is>
      </c>
      <c r="G30" t="inlineStr">
        <is>
          <t>200</t>
        </is>
      </c>
      <c r="H30" t="inlineStr">
        <is>
          <t>Kg</t>
        </is>
      </c>
      <c r="I30">
        <f>VALUE(SUBSTITUTE(F30,",",""))*1000</f>
        <v/>
      </c>
      <c r="J30">
        <f>VALUE(SUBSTITUTE(G30,",",""))</f>
        <v/>
      </c>
      <c r="K30">
        <f>E30="World"</f>
        <v/>
      </c>
      <c r="L30">
        <f>IF(J30=0,0,I30/J30)</f>
        <v/>
      </c>
      <c r="M30">
        <f>IF(K30,"",IF(E30="India","Re-import",IF(L30&lt;Lookups!$K$2,"Unit value below floor","")))</f>
        <v/>
      </c>
      <c r="N30">
        <f>IF(AND(NOT(K30),M30=""),1,0)</f>
        <v/>
      </c>
      <c r="O30">
        <f>SUMIFS($I$2:$I$190,$B$2:$B$190,B30,$C$2:$C$190,C30,$N$2:$N$190,1)/SUMIFS($J$2:$J$190,$B$2:$B$190,B30,$C$2:$C$190,C30,$N$2:$N$190,1)</f>
        <v/>
      </c>
      <c r="P30">
        <f>IF(K30,"",IF(M30="Unit value below floor",I30/O30,J30))</f>
        <v/>
      </c>
      <c r="Q30">
        <f>IF(K30,"",P30/1000*VLOOKUP(C30,Lookups!$G$2:$H$3,2,FALSE))</f>
        <v/>
      </c>
    </row>
    <row r="31">
      <c r="A31" t="inlineStr">
        <is>
          <t>India</t>
        </is>
      </c>
      <c r="B31" t="n">
        <v>2019</v>
      </c>
      <c r="C31" t="inlineStr">
        <is>
          <t>283691</t>
        </is>
      </c>
      <c r="D31" t="inlineStr">
        <is>
          <t>Lithium carbonates</t>
        </is>
      </c>
      <c r="E31" t="inlineStr">
        <is>
          <t>Germany</t>
        </is>
      </c>
      <c r="F31" t="inlineStr">
        <is>
          <t>1.73</t>
        </is>
      </c>
      <c r="G31" t="inlineStr">
        <is>
          <t>138</t>
        </is>
      </c>
      <c r="H31" t="inlineStr">
        <is>
          <t>Kg</t>
        </is>
      </c>
      <c r="I31">
        <f>VALUE(SUBSTITUTE(F31,",",""))*1000</f>
        <v/>
      </c>
      <c r="J31">
        <f>VALUE(SUBSTITUTE(G31,",",""))</f>
        <v/>
      </c>
      <c r="K31">
        <f>E31="World"</f>
        <v/>
      </c>
      <c r="L31">
        <f>IF(J31=0,0,I31/J31)</f>
        <v/>
      </c>
      <c r="M31">
        <f>IF(K31,"",IF(E31="India","Re-import",IF(L31&lt;Lookups!$K$2,"Unit value below floor","")))</f>
        <v/>
      </c>
      <c r="N31">
        <f>IF(AND(NOT(K31),M31=""),1,0)</f>
        <v/>
      </c>
      <c r="O31">
        <f>SUMIFS($I$2:$I$190,$B$2:$B$190,B31,$C$2:$C$190,C31,$N$2:$N$190,1)/SUMIFS($J$2:$J$190,$B$2:$B$190,B31,$C$2:$C$190,C31,$N$2:$N$190,1)</f>
        <v/>
      </c>
      <c r="P31">
        <f>IF(K31,"",IF(M31="Unit value below floor",I31/O31,J31))</f>
        <v/>
      </c>
      <c r="Q31">
        <f>IF(K31,"",P31/1000*VLOOKUP(C31,Lookups!$G$2:$H$3,2,FALSE))</f>
        <v/>
      </c>
    </row>
    <row r="32">
      <c r="A32" t="inlineStr">
        <is>
          <t>India</t>
        </is>
      </c>
      <c r="B32" t="n">
        <v>2019</v>
      </c>
      <c r="C32" t="inlineStr">
        <is>
          <t>283691</t>
        </is>
      </c>
      <c r="D32" t="inlineStr">
        <is>
          <t>Lithium carbonates</t>
        </is>
      </c>
      <c r="E32" t="inlineStr">
        <is>
          <t>Russian Federation</t>
        </is>
      </c>
      <c r="F32" t="inlineStr">
        <is>
          <t>0.04</t>
        </is>
      </c>
      <c r="G32" t="inlineStr">
        <is>
          <t>2</t>
        </is>
      </c>
      <c r="H32" t="inlineStr">
        <is>
          <t>Kg</t>
        </is>
      </c>
      <c r="I32">
        <f>VALUE(SUBSTITUTE(F32,",",""))*1000</f>
        <v/>
      </c>
      <c r="J32">
        <f>VALUE(SUBSTITUTE(G32,",",""))</f>
        <v/>
      </c>
      <c r="K32">
        <f>E32="World"</f>
        <v/>
      </c>
      <c r="L32">
        <f>IF(J32=0,0,I32/J32)</f>
        <v/>
      </c>
      <c r="M32">
        <f>IF(K32,"",IF(E32="India","Re-import",IF(L32&lt;Lookups!$K$2,"Unit value below floor","")))</f>
        <v/>
      </c>
      <c r="N32">
        <f>IF(AND(NOT(K32),M32=""),1,0)</f>
        <v/>
      </c>
      <c r="O32">
        <f>SUMIFS($I$2:$I$190,$B$2:$B$190,B32,$C$2:$C$190,C32,$N$2:$N$190,1)/SUMIFS($J$2:$J$190,$B$2:$B$190,B32,$C$2:$C$190,C32,$N$2:$N$190,1)</f>
        <v/>
      </c>
      <c r="P32">
        <f>IF(K32,"",IF(M32="Unit value below floor",I32/O32,J32))</f>
        <v/>
      </c>
      <c r="Q32">
        <f>IF(K32,"",P32/1000*VLOOKUP(C32,Lookups!$G$2:$H$3,2,FALSE))</f>
        <v/>
      </c>
    </row>
    <row r="33">
      <c r="A33" t="inlineStr">
        <is>
          <t>India</t>
        </is>
      </c>
      <c r="B33" t="n">
        <v>2020</v>
      </c>
      <c r="C33" t="inlineStr">
        <is>
          <t>283691</t>
        </is>
      </c>
      <c r="D33" t="inlineStr">
        <is>
          <t>Lithium carbonates</t>
        </is>
      </c>
      <c r="E33" t="inlineStr">
        <is>
          <t>World</t>
        </is>
      </c>
      <c r="F33" t="inlineStr">
        <is>
          <t>8,091.12</t>
        </is>
      </c>
      <c r="G33" t="inlineStr">
        <is>
          <t>1,090,510</t>
        </is>
      </c>
      <c r="H33" t="inlineStr">
        <is>
          <t>Kg</t>
        </is>
      </c>
      <c r="I33">
        <f>VALUE(SUBSTITUTE(F33,",",""))*1000</f>
        <v/>
      </c>
      <c r="J33">
        <f>VALUE(SUBSTITUTE(G33,",",""))</f>
        <v/>
      </c>
      <c r="K33">
        <f>E33="World"</f>
        <v/>
      </c>
      <c r="L33">
        <f>IF(J33=0,0,I33/J33)</f>
        <v/>
      </c>
      <c r="M33">
        <f>IF(K33,"",IF(E33="India","Re-import",IF(L33&lt;Lookups!$K$2,"Unit value below floor","")))</f>
        <v/>
      </c>
      <c r="N33">
        <f>IF(AND(NOT(K33),M33=""),1,0)</f>
        <v/>
      </c>
      <c r="O33">
        <f>SUMIFS($I$2:$I$190,$B$2:$B$190,B33,$C$2:$C$190,C33,$N$2:$N$190,1)/SUMIFS($J$2:$J$190,$B$2:$B$190,B33,$C$2:$C$190,C33,$N$2:$N$190,1)</f>
        <v/>
      </c>
      <c r="P33">
        <f>IF(K33,"",IF(M33="Unit value below floor",I33/O33,J33))</f>
        <v/>
      </c>
      <c r="Q33">
        <f>IF(K33,"",P33/1000*VLOOKUP(C33,Lookups!$G$2:$H$3,2,FALSE))</f>
        <v/>
      </c>
    </row>
    <row r="34">
      <c r="A34" t="inlineStr">
        <is>
          <t>India</t>
        </is>
      </c>
      <c r="B34" t="n">
        <v>2020</v>
      </c>
      <c r="C34" t="inlineStr">
        <is>
          <t>283691</t>
        </is>
      </c>
      <c r="D34" t="inlineStr">
        <is>
          <t>Lithium carbonates</t>
        </is>
      </c>
      <c r="E34" t="inlineStr">
        <is>
          <t>United States</t>
        </is>
      </c>
      <c r="F34" t="inlineStr">
        <is>
          <t>3,008.44</t>
        </is>
      </c>
      <c r="G34" t="inlineStr">
        <is>
          <t>109,635</t>
        </is>
      </c>
      <c r="H34" t="inlineStr">
        <is>
          <t>Kg</t>
        </is>
      </c>
      <c r="I34">
        <f>VALUE(SUBSTITUTE(F34,",",""))*1000</f>
        <v/>
      </c>
      <c r="J34">
        <f>VALUE(SUBSTITUTE(G34,",",""))</f>
        <v/>
      </c>
      <c r="K34">
        <f>E34="World"</f>
        <v/>
      </c>
      <c r="L34">
        <f>IF(J34=0,0,I34/J34)</f>
        <v/>
      </c>
      <c r="M34">
        <f>IF(K34,"",IF(E34="India","Re-import",IF(L34&lt;Lookups!$K$2,"Unit value below floor","")))</f>
        <v/>
      </c>
      <c r="N34">
        <f>IF(AND(NOT(K34),M34=""),1,0)</f>
        <v/>
      </c>
      <c r="O34">
        <f>SUMIFS($I$2:$I$190,$B$2:$B$190,B34,$C$2:$C$190,C34,$N$2:$N$190,1)/SUMIFS($J$2:$J$190,$B$2:$B$190,B34,$C$2:$C$190,C34,$N$2:$N$190,1)</f>
        <v/>
      </c>
      <c r="P34">
        <f>IF(K34,"",IF(M34="Unit value below floor",I34/O34,J34))</f>
        <v/>
      </c>
      <c r="Q34">
        <f>IF(K34,"",P34/1000*VLOOKUP(C34,Lookups!$G$2:$H$3,2,FALSE))</f>
        <v/>
      </c>
    </row>
    <row r="35">
      <c r="A35" t="inlineStr">
        <is>
          <t>India</t>
        </is>
      </c>
      <c r="B35" t="n">
        <v>2020</v>
      </c>
      <c r="C35" t="inlineStr">
        <is>
          <t>283691</t>
        </is>
      </c>
      <c r="D35" t="inlineStr">
        <is>
          <t>Lithium carbonates</t>
        </is>
      </c>
      <c r="E35" t="inlineStr">
        <is>
          <t>Belgium</t>
        </is>
      </c>
      <c r="F35" t="inlineStr">
        <is>
          <t>1,512.90</t>
        </is>
      </c>
      <c r="G35" t="inlineStr">
        <is>
          <t>222,400</t>
        </is>
      </c>
      <c r="H35" t="inlineStr">
        <is>
          <t>Kg</t>
        </is>
      </c>
      <c r="I35">
        <f>VALUE(SUBSTITUTE(F35,",",""))*1000</f>
        <v/>
      </c>
      <c r="J35">
        <f>VALUE(SUBSTITUTE(G35,",",""))</f>
        <v/>
      </c>
      <c r="K35">
        <f>E35="World"</f>
        <v/>
      </c>
      <c r="L35">
        <f>IF(J35=0,0,I35/J35)</f>
        <v/>
      </c>
      <c r="M35">
        <f>IF(K35,"",IF(E35="India","Re-import",IF(L35&lt;Lookups!$K$2,"Unit value below floor","")))</f>
        <v/>
      </c>
      <c r="N35">
        <f>IF(AND(NOT(K35),M35=""),1,0)</f>
        <v/>
      </c>
      <c r="O35">
        <f>SUMIFS($I$2:$I$190,$B$2:$B$190,B35,$C$2:$C$190,C35,$N$2:$N$190,1)/SUMIFS($J$2:$J$190,$B$2:$B$190,B35,$C$2:$C$190,C35,$N$2:$N$190,1)</f>
        <v/>
      </c>
      <c r="P35">
        <f>IF(K35,"",IF(M35="Unit value below floor",I35/O35,J35))</f>
        <v/>
      </c>
      <c r="Q35">
        <f>IF(K35,"",P35/1000*VLOOKUP(C35,Lookups!$G$2:$H$3,2,FALSE))</f>
        <v/>
      </c>
    </row>
    <row r="36">
      <c r="A36" t="inlineStr">
        <is>
          <t>India</t>
        </is>
      </c>
      <c r="B36" t="n">
        <v>2020</v>
      </c>
      <c r="C36" t="inlineStr">
        <is>
          <t>283691</t>
        </is>
      </c>
      <c r="D36" t="inlineStr">
        <is>
          <t>Lithium carbonates</t>
        </is>
      </c>
      <c r="E36" t="inlineStr">
        <is>
          <t>Chile</t>
        </is>
      </c>
      <c r="F36" t="inlineStr">
        <is>
          <t>1,031.99</t>
        </is>
      </c>
      <c r="G36" t="inlineStr">
        <is>
          <t>99,000</t>
        </is>
      </c>
      <c r="H36" t="inlineStr">
        <is>
          <t>Kg</t>
        </is>
      </c>
      <c r="I36">
        <f>VALUE(SUBSTITUTE(F36,",",""))*1000</f>
        <v/>
      </c>
      <c r="J36">
        <f>VALUE(SUBSTITUTE(G36,",",""))</f>
        <v/>
      </c>
      <c r="K36">
        <f>E36="World"</f>
        <v/>
      </c>
      <c r="L36">
        <f>IF(J36=0,0,I36/J36)</f>
        <v/>
      </c>
      <c r="M36">
        <f>IF(K36,"",IF(E36="India","Re-import",IF(L36&lt;Lookups!$K$2,"Unit value below floor","")))</f>
        <v/>
      </c>
      <c r="N36">
        <f>IF(AND(NOT(K36),M36=""),1,0)</f>
        <v/>
      </c>
      <c r="O36">
        <f>SUMIFS($I$2:$I$190,$B$2:$B$190,B36,$C$2:$C$190,C36,$N$2:$N$190,1)/SUMIFS($J$2:$J$190,$B$2:$B$190,B36,$C$2:$C$190,C36,$N$2:$N$190,1)</f>
        <v/>
      </c>
      <c r="P36">
        <f>IF(K36,"",IF(M36="Unit value below floor",I36/O36,J36))</f>
        <v/>
      </c>
      <c r="Q36">
        <f>IF(K36,"",P36/1000*VLOOKUP(C36,Lookups!$G$2:$H$3,2,FALSE))</f>
        <v/>
      </c>
    </row>
    <row r="37">
      <c r="A37" t="inlineStr">
        <is>
          <t>India</t>
        </is>
      </c>
      <c r="B37" t="n">
        <v>2020</v>
      </c>
      <c r="C37" t="inlineStr">
        <is>
          <t>283691</t>
        </is>
      </c>
      <c r="D37" t="inlineStr">
        <is>
          <t>Lithium carbonates</t>
        </is>
      </c>
      <c r="E37" t="inlineStr">
        <is>
          <t>Singapore</t>
        </is>
      </c>
      <c r="F37" t="inlineStr">
        <is>
          <t>619.49</t>
        </is>
      </c>
      <c r="G37" t="inlineStr">
        <is>
          <t>16,803</t>
        </is>
      </c>
      <c r="H37" t="inlineStr">
        <is>
          <t>Kg</t>
        </is>
      </c>
      <c r="I37">
        <f>VALUE(SUBSTITUTE(F37,",",""))*1000</f>
        <v/>
      </c>
      <c r="J37">
        <f>VALUE(SUBSTITUTE(G37,",",""))</f>
        <v/>
      </c>
      <c r="K37">
        <f>E37="World"</f>
        <v/>
      </c>
      <c r="L37">
        <f>IF(J37=0,0,I37/J37)</f>
        <v/>
      </c>
      <c r="M37">
        <f>IF(K37,"",IF(E37="India","Re-import",IF(L37&lt;Lookups!$K$2,"Unit value below floor","")))</f>
        <v/>
      </c>
      <c r="N37">
        <f>IF(AND(NOT(K37),M37=""),1,0)</f>
        <v/>
      </c>
      <c r="O37">
        <f>SUMIFS($I$2:$I$190,$B$2:$B$190,B37,$C$2:$C$190,C37,$N$2:$N$190,1)/SUMIFS($J$2:$J$190,$B$2:$B$190,B37,$C$2:$C$190,C37,$N$2:$N$190,1)</f>
        <v/>
      </c>
      <c r="P37">
        <f>IF(K37,"",IF(M37="Unit value below floor",I37/O37,J37))</f>
        <v/>
      </c>
      <c r="Q37">
        <f>IF(K37,"",P37/1000*VLOOKUP(C37,Lookups!$G$2:$H$3,2,FALSE))</f>
        <v/>
      </c>
    </row>
    <row r="38">
      <c r="A38" t="inlineStr">
        <is>
          <t>India</t>
        </is>
      </c>
      <c r="B38" t="n">
        <v>2020</v>
      </c>
      <c r="C38" t="inlineStr">
        <is>
          <t>283691</t>
        </is>
      </c>
      <c r="D38" t="inlineStr">
        <is>
          <t>Lithium carbonates</t>
        </is>
      </c>
      <c r="E38" t="inlineStr">
        <is>
          <t>Germany</t>
        </is>
      </c>
      <c r="F38" t="inlineStr">
        <is>
          <t>584.26</t>
        </is>
      </c>
      <c r="G38" t="inlineStr">
        <is>
          <t>105,270</t>
        </is>
      </c>
      <c r="H38" t="inlineStr">
        <is>
          <t>Kg</t>
        </is>
      </c>
      <c r="I38">
        <f>VALUE(SUBSTITUTE(F38,",",""))*1000</f>
        <v/>
      </c>
      <c r="J38">
        <f>VALUE(SUBSTITUTE(G38,",",""))</f>
        <v/>
      </c>
      <c r="K38">
        <f>E38="World"</f>
        <v/>
      </c>
      <c r="L38">
        <f>IF(J38=0,0,I38/J38)</f>
        <v/>
      </c>
      <c r="M38">
        <f>IF(K38,"",IF(E38="India","Re-import",IF(L38&lt;Lookups!$K$2,"Unit value below floor","")))</f>
        <v/>
      </c>
      <c r="N38">
        <f>IF(AND(NOT(K38),M38=""),1,0)</f>
        <v/>
      </c>
      <c r="O38">
        <f>SUMIFS($I$2:$I$190,$B$2:$B$190,B38,$C$2:$C$190,C38,$N$2:$N$190,1)/SUMIFS($J$2:$J$190,$B$2:$B$190,B38,$C$2:$C$190,C38,$N$2:$N$190,1)</f>
        <v/>
      </c>
      <c r="P38">
        <f>IF(K38,"",IF(M38="Unit value below floor",I38/O38,J38))</f>
        <v/>
      </c>
      <c r="Q38">
        <f>IF(K38,"",P38/1000*VLOOKUP(C38,Lookups!$G$2:$H$3,2,FALSE))</f>
        <v/>
      </c>
    </row>
    <row r="39">
      <c r="A39" t="inlineStr">
        <is>
          <t>India</t>
        </is>
      </c>
      <c r="B39" t="n">
        <v>2020</v>
      </c>
      <c r="C39" t="inlineStr">
        <is>
          <t>283691</t>
        </is>
      </c>
      <c r="D39" t="inlineStr">
        <is>
          <t>Lithium carbonates</t>
        </is>
      </c>
      <c r="E39" t="inlineStr">
        <is>
          <t>Argentina</t>
        </is>
      </c>
      <c r="F39" t="inlineStr">
        <is>
          <t>465.47</t>
        </is>
      </c>
      <c r="G39" t="inlineStr">
        <is>
          <t>72,000</t>
        </is>
      </c>
      <c r="H39" t="inlineStr">
        <is>
          <t>Kg</t>
        </is>
      </c>
      <c r="I39">
        <f>VALUE(SUBSTITUTE(F39,",",""))*1000</f>
        <v/>
      </c>
      <c r="J39">
        <f>VALUE(SUBSTITUTE(G39,",",""))</f>
        <v/>
      </c>
      <c r="K39">
        <f>E39="World"</f>
        <v/>
      </c>
      <c r="L39">
        <f>IF(J39=0,0,I39/J39)</f>
        <v/>
      </c>
      <c r="M39">
        <f>IF(K39,"",IF(E39="India","Re-import",IF(L39&lt;Lookups!$K$2,"Unit value below floor","")))</f>
        <v/>
      </c>
      <c r="N39">
        <f>IF(AND(NOT(K39),M39=""),1,0)</f>
        <v/>
      </c>
      <c r="O39">
        <f>SUMIFS($I$2:$I$190,$B$2:$B$190,B39,$C$2:$C$190,C39,$N$2:$N$190,1)/SUMIFS($J$2:$J$190,$B$2:$B$190,B39,$C$2:$C$190,C39,$N$2:$N$190,1)</f>
        <v/>
      </c>
      <c r="P39">
        <f>IF(K39,"",IF(M39="Unit value below floor",I39/O39,J39))</f>
        <v/>
      </c>
      <c r="Q39">
        <f>IF(K39,"",P39/1000*VLOOKUP(C39,Lookups!$G$2:$H$3,2,FALSE))</f>
        <v/>
      </c>
    </row>
    <row r="40">
      <c r="A40" t="inlineStr">
        <is>
          <t>India</t>
        </is>
      </c>
      <c r="B40" t="n">
        <v>2020</v>
      </c>
      <c r="C40" t="inlineStr">
        <is>
          <t>283691</t>
        </is>
      </c>
      <c r="D40" t="inlineStr">
        <is>
          <t>Lithium carbonates</t>
        </is>
      </c>
      <c r="E40" t="inlineStr">
        <is>
          <t>China</t>
        </is>
      </c>
      <c r="F40" t="inlineStr">
        <is>
          <t>317.78</t>
        </is>
      </c>
      <c r="G40" t="inlineStr">
        <is>
          <t>45,930</t>
        </is>
      </c>
      <c r="H40" t="inlineStr">
        <is>
          <t>Kg</t>
        </is>
      </c>
      <c r="I40">
        <f>VALUE(SUBSTITUTE(F40,",",""))*1000</f>
        <v/>
      </c>
      <c r="J40">
        <f>VALUE(SUBSTITUTE(G40,",",""))</f>
        <v/>
      </c>
      <c r="K40">
        <f>E40="World"</f>
        <v/>
      </c>
      <c r="L40">
        <f>IF(J40=0,0,I40/J40)</f>
        <v/>
      </c>
      <c r="M40">
        <f>IF(K40,"",IF(E40="India","Re-import",IF(L40&lt;Lookups!$K$2,"Unit value below floor","")))</f>
        <v/>
      </c>
      <c r="N40">
        <f>IF(AND(NOT(K40),M40=""),1,0)</f>
        <v/>
      </c>
      <c r="O40">
        <f>SUMIFS($I$2:$I$190,$B$2:$B$190,B40,$C$2:$C$190,C40,$N$2:$N$190,1)/SUMIFS($J$2:$J$190,$B$2:$B$190,B40,$C$2:$C$190,C40,$N$2:$N$190,1)</f>
        <v/>
      </c>
      <c r="P40">
        <f>IF(K40,"",IF(M40="Unit value below floor",I40/O40,J40))</f>
        <v/>
      </c>
      <c r="Q40">
        <f>IF(K40,"",P40/1000*VLOOKUP(C40,Lookups!$G$2:$H$3,2,FALSE))</f>
        <v/>
      </c>
    </row>
    <row r="41">
      <c r="A41" t="inlineStr">
        <is>
          <t>India</t>
        </is>
      </c>
      <c r="B41" t="n">
        <v>2020</v>
      </c>
      <c r="C41" t="inlineStr">
        <is>
          <t>283691</t>
        </is>
      </c>
      <c r="D41" t="inlineStr">
        <is>
          <t>Lithium carbonates</t>
        </is>
      </c>
      <c r="E41" t="inlineStr">
        <is>
          <t>Slovenia</t>
        </is>
      </c>
      <c r="F41" t="inlineStr">
        <is>
          <t>246.09</t>
        </is>
      </c>
      <c r="G41" t="inlineStr">
        <is>
          <t>6,000</t>
        </is>
      </c>
      <c r="H41" t="inlineStr">
        <is>
          <t>Kg</t>
        </is>
      </c>
      <c r="I41">
        <f>VALUE(SUBSTITUTE(F41,",",""))*1000</f>
        <v/>
      </c>
      <c r="J41">
        <f>VALUE(SUBSTITUTE(G41,",",""))</f>
        <v/>
      </c>
      <c r="K41">
        <f>E41="World"</f>
        <v/>
      </c>
      <c r="L41">
        <f>IF(J41=0,0,I41/J41)</f>
        <v/>
      </c>
      <c r="M41">
        <f>IF(K41,"",IF(E41="India","Re-import",IF(L41&lt;Lookups!$K$2,"Unit value below floor","")))</f>
        <v/>
      </c>
      <c r="N41">
        <f>IF(AND(NOT(K41),M41=""),1,0)</f>
        <v/>
      </c>
      <c r="O41">
        <f>SUMIFS($I$2:$I$190,$B$2:$B$190,B41,$C$2:$C$190,C41,$N$2:$N$190,1)/SUMIFS($J$2:$J$190,$B$2:$B$190,B41,$C$2:$C$190,C41,$N$2:$N$190,1)</f>
        <v/>
      </c>
      <c r="P41">
        <f>IF(K41,"",IF(M41="Unit value below floor",I41/O41,J41))</f>
        <v/>
      </c>
      <c r="Q41">
        <f>IF(K41,"",P41/1000*VLOOKUP(C41,Lookups!$G$2:$H$3,2,FALSE))</f>
        <v/>
      </c>
    </row>
    <row r="42">
      <c r="A42" t="inlineStr">
        <is>
          <t>India</t>
        </is>
      </c>
      <c r="B42" t="n">
        <v>2020</v>
      </c>
      <c r="C42" t="inlineStr">
        <is>
          <t>283691</t>
        </is>
      </c>
      <c r="D42" t="inlineStr">
        <is>
          <t>Lithium carbonates</t>
        </is>
      </c>
      <c r="E42" t="inlineStr">
        <is>
          <t>Ireland</t>
        </is>
      </c>
      <c r="F42" t="inlineStr">
        <is>
          <t>155.80</t>
        </is>
      </c>
      <c r="G42" t="inlineStr">
        <is>
          <t>300,000</t>
        </is>
      </c>
      <c r="H42" t="inlineStr">
        <is>
          <t>Kg</t>
        </is>
      </c>
      <c r="I42">
        <f>VALUE(SUBSTITUTE(F42,",",""))*1000</f>
        <v/>
      </c>
      <c r="J42">
        <f>VALUE(SUBSTITUTE(G42,",",""))</f>
        <v/>
      </c>
      <c r="K42">
        <f>E42="World"</f>
        <v/>
      </c>
      <c r="L42">
        <f>IF(J42=0,0,I42/J42)</f>
        <v/>
      </c>
      <c r="M42">
        <f>IF(K42,"",IF(E42="India","Re-import",IF(L42&lt;Lookups!$K$2,"Unit value below floor","")))</f>
        <v/>
      </c>
      <c r="N42">
        <f>IF(AND(NOT(K42),M42=""),1,0)</f>
        <v/>
      </c>
      <c r="O42">
        <f>SUMIFS($I$2:$I$190,$B$2:$B$190,B42,$C$2:$C$190,C42,$N$2:$N$190,1)/SUMIFS($J$2:$J$190,$B$2:$B$190,B42,$C$2:$C$190,C42,$N$2:$N$190,1)</f>
        <v/>
      </c>
      <c r="P42">
        <f>IF(K42,"",IF(M42="Unit value below floor",I42/O42,J42))</f>
        <v/>
      </c>
      <c r="Q42">
        <f>IF(K42,"",P42/1000*VLOOKUP(C42,Lookups!$G$2:$H$3,2,FALSE))</f>
        <v/>
      </c>
    </row>
    <row r="43">
      <c r="A43" t="inlineStr">
        <is>
          <t>India</t>
        </is>
      </c>
      <c r="B43" t="n">
        <v>2020</v>
      </c>
      <c r="C43" t="inlineStr">
        <is>
          <t>283691</t>
        </is>
      </c>
      <c r="D43" t="inlineStr">
        <is>
          <t>Lithium carbonates</t>
        </is>
      </c>
      <c r="E43" t="inlineStr">
        <is>
          <t>Netherlands</t>
        </is>
      </c>
      <c r="F43" t="inlineStr">
        <is>
          <t>58.18</t>
        </is>
      </c>
      <c r="G43" t="inlineStr">
        <is>
          <t>100,200</t>
        </is>
      </c>
      <c r="H43" t="inlineStr">
        <is>
          <t>Kg</t>
        </is>
      </c>
      <c r="I43">
        <f>VALUE(SUBSTITUTE(F43,",",""))*1000</f>
        <v/>
      </c>
      <c r="J43">
        <f>VALUE(SUBSTITUTE(G43,",",""))</f>
        <v/>
      </c>
      <c r="K43">
        <f>E43="World"</f>
        <v/>
      </c>
      <c r="L43">
        <f>IF(J43=0,0,I43/J43)</f>
        <v/>
      </c>
      <c r="M43">
        <f>IF(K43,"",IF(E43="India","Re-import",IF(L43&lt;Lookups!$K$2,"Unit value below floor","")))</f>
        <v/>
      </c>
      <c r="N43">
        <f>IF(AND(NOT(K43),M43=""),1,0)</f>
        <v/>
      </c>
      <c r="O43">
        <f>SUMIFS($I$2:$I$190,$B$2:$B$190,B43,$C$2:$C$190,C43,$N$2:$N$190,1)/SUMIFS($J$2:$J$190,$B$2:$B$190,B43,$C$2:$C$190,C43,$N$2:$N$190,1)</f>
        <v/>
      </c>
      <c r="P43">
        <f>IF(K43,"",IF(M43="Unit value below floor",I43/O43,J43))</f>
        <v/>
      </c>
      <c r="Q43">
        <f>IF(K43,"",P43/1000*VLOOKUP(C43,Lookups!$G$2:$H$3,2,FALSE))</f>
        <v/>
      </c>
    </row>
    <row r="44">
      <c r="A44" t="inlineStr">
        <is>
          <t>India</t>
        </is>
      </c>
      <c r="B44" t="n">
        <v>2020</v>
      </c>
      <c r="C44" t="inlineStr">
        <is>
          <t>283691</t>
        </is>
      </c>
      <c r="D44" t="inlineStr">
        <is>
          <t>Lithium carbonates</t>
        </is>
      </c>
      <c r="E44" t="inlineStr">
        <is>
          <t>Canada</t>
        </is>
      </c>
      <c r="F44" t="inlineStr">
        <is>
          <t>46.19</t>
        </is>
      </c>
      <c r="G44" t="inlineStr">
        <is>
          <t>9,000</t>
        </is>
      </c>
      <c r="H44" t="inlineStr">
        <is>
          <t>Kg</t>
        </is>
      </c>
      <c r="I44">
        <f>VALUE(SUBSTITUTE(F44,",",""))*1000</f>
        <v/>
      </c>
      <c r="J44">
        <f>VALUE(SUBSTITUTE(G44,",",""))</f>
        <v/>
      </c>
      <c r="K44">
        <f>E44="World"</f>
        <v/>
      </c>
      <c r="L44">
        <f>IF(J44=0,0,I44/J44)</f>
        <v/>
      </c>
      <c r="M44">
        <f>IF(K44,"",IF(E44="India","Re-import",IF(L44&lt;Lookups!$K$2,"Unit value below floor","")))</f>
        <v/>
      </c>
      <c r="N44">
        <f>IF(AND(NOT(K44),M44=""),1,0)</f>
        <v/>
      </c>
      <c r="O44">
        <f>SUMIFS($I$2:$I$190,$B$2:$B$190,B44,$C$2:$C$190,C44,$N$2:$N$190,1)/SUMIFS($J$2:$J$190,$B$2:$B$190,B44,$C$2:$C$190,C44,$N$2:$N$190,1)</f>
        <v/>
      </c>
      <c r="P44">
        <f>IF(K44,"",IF(M44="Unit value below floor",I44/O44,J44))</f>
        <v/>
      </c>
      <c r="Q44">
        <f>IF(K44,"",P44/1000*VLOOKUP(C44,Lookups!$G$2:$H$3,2,FALSE))</f>
        <v/>
      </c>
    </row>
    <row r="45">
      <c r="A45" t="inlineStr">
        <is>
          <t>India</t>
        </is>
      </c>
      <c r="B45" t="n">
        <v>2020</v>
      </c>
      <c r="C45" t="inlineStr">
        <is>
          <t>283691</t>
        </is>
      </c>
      <c r="D45" t="inlineStr">
        <is>
          <t>Lithium carbonates</t>
        </is>
      </c>
      <c r="E45" t="inlineStr">
        <is>
          <t>United Kingdom</t>
        </is>
      </c>
      <c r="F45" t="inlineStr">
        <is>
          <t>23.36</t>
        </is>
      </c>
      <c r="G45" t="inlineStr">
        <is>
          <t>3,010</t>
        </is>
      </c>
      <c r="H45" t="inlineStr">
        <is>
          <t>Kg</t>
        </is>
      </c>
      <c r="I45">
        <f>VALUE(SUBSTITUTE(F45,",",""))*1000</f>
        <v/>
      </c>
      <c r="J45">
        <f>VALUE(SUBSTITUTE(G45,",",""))</f>
        <v/>
      </c>
      <c r="K45">
        <f>E45="World"</f>
        <v/>
      </c>
      <c r="L45">
        <f>IF(J45=0,0,I45/J45)</f>
        <v/>
      </c>
      <c r="M45">
        <f>IF(K45,"",IF(E45="India","Re-import",IF(L45&lt;Lookups!$K$2,"Unit value below floor","")))</f>
        <v/>
      </c>
      <c r="N45">
        <f>IF(AND(NOT(K45),M45=""),1,0)</f>
        <v/>
      </c>
      <c r="O45">
        <f>SUMIFS($I$2:$I$190,$B$2:$B$190,B45,$C$2:$C$190,C45,$N$2:$N$190,1)/SUMIFS($J$2:$J$190,$B$2:$B$190,B45,$C$2:$C$190,C45,$N$2:$N$190,1)</f>
        <v/>
      </c>
      <c r="P45">
        <f>IF(K45,"",IF(M45="Unit value below floor",I45/O45,J45))</f>
        <v/>
      </c>
      <c r="Q45">
        <f>IF(K45,"",P45/1000*VLOOKUP(C45,Lookups!$G$2:$H$3,2,FALSE))</f>
        <v/>
      </c>
    </row>
    <row r="46">
      <c r="A46" t="inlineStr">
        <is>
          <t>India</t>
        </is>
      </c>
      <c r="B46" t="n">
        <v>2020</v>
      </c>
      <c r="C46" t="inlineStr">
        <is>
          <t>283691</t>
        </is>
      </c>
      <c r="D46" t="inlineStr">
        <is>
          <t>Lithium carbonates</t>
        </is>
      </c>
      <c r="E46" t="inlineStr">
        <is>
          <t>Italy</t>
        </is>
      </c>
      <c r="F46" t="inlineStr">
        <is>
          <t>19.86</t>
        </is>
      </c>
      <c r="G46" t="inlineStr">
        <is>
          <t>1,200</t>
        </is>
      </c>
      <c r="H46" t="inlineStr">
        <is>
          <t>Kg</t>
        </is>
      </c>
      <c r="I46">
        <f>VALUE(SUBSTITUTE(F46,",",""))*1000</f>
        <v/>
      </c>
      <c r="J46">
        <f>VALUE(SUBSTITUTE(G46,",",""))</f>
        <v/>
      </c>
      <c r="K46">
        <f>E46="World"</f>
        <v/>
      </c>
      <c r="L46">
        <f>IF(J46=0,0,I46/J46)</f>
        <v/>
      </c>
      <c r="M46">
        <f>IF(K46,"",IF(E46="India","Re-import",IF(L46&lt;Lookups!$K$2,"Unit value below floor","")))</f>
        <v/>
      </c>
      <c r="N46">
        <f>IF(AND(NOT(K46),M46=""),1,0)</f>
        <v/>
      </c>
      <c r="O46">
        <f>SUMIFS($I$2:$I$190,$B$2:$B$190,B46,$C$2:$C$190,C46,$N$2:$N$190,1)/SUMIFS($J$2:$J$190,$B$2:$B$190,B46,$C$2:$C$190,C46,$N$2:$N$190,1)</f>
        <v/>
      </c>
      <c r="P46">
        <f>IF(K46,"",IF(M46="Unit value below floor",I46/O46,J46))</f>
        <v/>
      </c>
      <c r="Q46">
        <f>IF(K46,"",P46/1000*VLOOKUP(C46,Lookups!$G$2:$H$3,2,FALSE))</f>
        <v/>
      </c>
    </row>
    <row r="47">
      <c r="A47" t="inlineStr">
        <is>
          <t>India</t>
        </is>
      </c>
      <c r="B47" t="n">
        <v>2020</v>
      </c>
      <c r="C47" t="inlineStr">
        <is>
          <t>283691</t>
        </is>
      </c>
      <c r="D47" t="inlineStr">
        <is>
          <t>Lithium carbonates</t>
        </is>
      </c>
      <c r="E47" t="inlineStr">
        <is>
          <t>Japan</t>
        </is>
      </c>
      <c r="F47" t="inlineStr">
        <is>
          <t>1.31</t>
        </is>
      </c>
      <c r="G47" t="inlineStr">
        <is>
          <t>60</t>
        </is>
      </c>
      <c r="H47" t="inlineStr">
        <is>
          <t>Kg</t>
        </is>
      </c>
      <c r="I47">
        <f>VALUE(SUBSTITUTE(F47,",",""))*1000</f>
        <v/>
      </c>
      <c r="J47">
        <f>VALUE(SUBSTITUTE(G47,",",""))</f>
        <v/>
      </c>
      <c r="K47">
        <f>E47="World"</f>
        <v/>
      </c>
      <c r="L47">
        <f>IF(J47=0,0,I47/J47)</f>
        <v/>
      </c>
      <c r="M47">
        <f>IF(K47,"",IF(E47="India","Re-import",IF(L47&lt;Lookups!$K$2,"Unit value below floor","")))</f>
        <v/>
      </c>
      <c r="N47">
        <f>IF(AND(NOT(K47),M47=""),1,0)</f>
        <v/>
      </c>
      <c r="O47">
        <f>SUMIFS($I$2:$I$190,$B$2:$B$190,B47,$C$2:$C$190,C47,$N$2:$N$190,1)/SUMIFS($J$2:$J$190,$B$2:$B$190,B47,$C$2:$C$190,C47,$N$2:$N$190,1)</f>
        <v/>
      </c>
      <c r="P47">
        <f>IF(K47,"",IF(M47="Unit value below floor",I47/O47,J47))</f>
        <v/>
      </c>
      <c r="Q47">
        <f>IF(K47,"",P47/1000*VLOOKUP(C47,Lookups!$G$2:$H$3,2,FALSE))</f>
        <v/>
      </c>
    </row>
    <row r="48">
      <c r="A48" t="inlineStr">
        <is>
          <t>India</t>
        </is>
      </c>
      <c r="B48" t="n">
        <v>2021</v>
      </c>
      <c r="C48" t="inlineStr">
        <is>
          <t>283691</t>
        </is>
      </c>
      <c r="D48" t="inlineStr">
        <is>
          <t>Lithium carbonates</t>
        </is>
      </c>
      <c r="E48" t="inlineStr">
        <is>
          <t>World</t>
        </is>
      </c>
      <c r="F48" t="inlineStr">
        <is>
          <t>8,847.22</t>
        </is>
      </c>
      <c r="G48" t="inlineStr">
        <is>
          <t>1,124,220</t>
        </is>
      </c>
      <c r="H48" t="inlineStr">
        <is>
          <t>Kg</t>
        </is>
      </c>
      <c r="I48">
        <f>VALUE(SUBSTITUTE(F48,",",""))*1000</f>
        <v/>
      </c>
      <c r="J48">
        <f>VALUE(SUBSTITUTE(G48,",",""))</f>
        <v/>
      </c>
      <c r="K48">
        <f>E48="World"</f>
        <v/>
      </c>
      <c r="L48">
        <f>IF(J48=0,0,I48/J48)</f>
        <v/>
      </c>
      <c r="M48">
        <f>IF(K48,"",IF(E48="India","Re-import",IF(L48&lt;Lookups!$K$2,"Unit value below floor","")))</f>
        <v/>
      </c>
      <c r="N48">
        <f>IF(AND(NOT(K48),M48=""),1,0)</f>
        <v/>
      </c>
      <c r="O48">
        <f>SUMIFS($I$2:$I$190,$B$2:$B$190,B48,$C$2:$C$190,C48,$N$2:$N$190,1)/SUMIFS($J$2:$J$190,$B$2:$B$190,B48,$C$2:$C$190,C48,$N$2:$N$190,1)</f>
        <v/>
      </c>
      <c r="P48">
        <f>IF(K48,"",IF(M48="Unit value below floor",I48/O48,J48))</f>
        <v/>
      </c>
      <c r="Q48">
        <f>IF(K48,"",P48/1000*VLOOKUP(C48,Lookups!$G$2:$H$3,2,FALSE))</f>
        <v/>
      </c>
    </row>
    <row r="49">
      <c r="A49" t="inlineStr">
        <is>
          <t>India</t>
        </is>
      </c>
      <c r="B49" t="n">
        <v>2021</v>
      </c>
      <c r="C49" t="inlineStr">
        <is>
          <t>283691</t>
        </is>
      </c>
      <c r="D49" t="inlineStr">
        <is>
          <t>Lithium carbonates</t>
        </is>
      </c>
      <c r="E49" t="inlineStr">
        <is>
          <t>United States</t>
        </is>
      </c>
      <c r="F49" t="inlineStr">
        <is>
          <t>2,764.62</t>
        </is>
      </c>
      <c r="G49" t="inlineStr">
        <is>
          <t>49,602</t>
        </is>
      </c>
      <c r="H49" t="inlineStr">
        <is>
          <t>Kg</t>
        </is>
      </c>
      <c r="I49">
        <f>VALUE(SUBSTITUTE(F49,",",""))*1000</f>
        <v/>
      </c>
      <c r="J49">
        <f>VALUE(SUBSTITUTE(G49,",",""))</f>
        <v/>
      </c>
      <c r="K49">
        <f>E49="World"</f>
        <v/>
      </c>
      <c r="L49">
        <f>IF(J49=0,0,I49/J49)</f>
        <v/>
      </c>
      <c r="M49">
        <f>IF(K49,"",IF(E49="India","Re-import",IF(L49&lt;Lookups!$K$2,"Unit value below floor","")))</f>
        <v/>
      </c>
      <c r="N49">
        <f>IF(AND(NOT(K49),M49=""),1,0)</f>
        <v/>
      </c>
      <c r="O49">
        <f>SUMIFS($I$2:$I$190,$B$2:$B$190,B49,$C$2:$C$190,C49,$N$2:$N$190,1)/SUMIFS($J$2:$J$190,$B$2:$B$190,B49,$C$2:$C$190,C49,$N$2:$N$190,1)</f>
        <v/>
      </c>
      <c r="P49">
        <f>IF(K49,"",IF(M49="Unit value below floor",I49/O49,J49))</f>
        <v/>
      </c>
      <c r="Q49">
        <f>IF(K49,"",P49/1000*VLOOKUP(C49,Lookups!$G$2:$H$3,2,FALSE))</f>
        <v/>
      </c>
    </row>
    <row r="50">
      <c r="A50" t="inlineStr">
        <is>
          <t>India</t>
        </is>
      </c>
      <c r="B50" t="n">
        <v>2021</v>
      </c>
      <c r="C50" t="inlineStr">
        <is>
          <t>283691</t>
        </is>
      </c>
      <c r="D50" t="inlineStr">
        <is>
          <t>Lithium carbonates</t>
        </is>
      </c>
      <c r="E50" t="inlineStr">
        <is>
          <t>Belgium</t>
        </is>
      </c>
      <c r="F50" t="inlineStr">
        <is>
          <t>2,451.88</t>
        </is>
      </c>
      <c r="G50" t="inlineStr">
        <is>
          <t>535,201</t>
        </is>
      </c>
      <c r="H50" t="inlineStr">
        <is>
          <t>Kg</t>
        </is>
      </c>
      <c r="I50">
        <f>VALUE(SUBSTITUTE(F50,",",""))*1000</f>
        <v/>
      </c>
      <c r="J50">
        <f>VALUE(SUBSTITUTE(G50,",",""))</f>
        <v/>
      </c>
      <c r="K50">
        <f>E50="World"</f>
        <v/>
      </c>
      <c r="L50">
        <f>IF(J50=0,0,I50/J50)</f>
        <v/>
      </c>
      <c r="M50">
        <f>IF(K50,"",IF(E50="India","Re-import",IF(L50&lt;Lookups!$K$2,"Unit value below floor","")))</f>
        <v/>
      </c>
      <c r="N50">
        <f>IF(AND(NOT(K50),M50=""),1,0)</f>
        <v/>
      </c>
      <c r="O50">
        <f>SUMIFS($I$2:$I$190,$B$2:$B$190,B50,$C$2:$C$190,C50,$N$2:$N$190,1)/SUMIFS($J$2:$J$190,$B$2:$B$190,B50,$C$2:$C$190,C50,$N$2:$N$190,1)</f>
        <v/>
      </c>
      <c r="P50">
        <f>IF(K50,"",IF(M50="Unit value below floor",I50/O50,J50))</f>
        <v/>
      </c>
      <c r="Q50">
        <f>IF(K50,"",P50/1000*VLOOKUP(C50,Lookups!$G$2:$H$3,2,FALSE))</f>
        <v/>
      </c>
    </row>
    <row r="51">
      <c r="A51" t="inlineStr">
        <is>
          <t>India</t>
        </is>
      </c>
      <c r="B51" t="n">
        <v>2021</v>
      </c>
      <c r="C51" t="inlineStr">
        <is>
          <t>283691</t>
        </is>
      </c>
      <c r="D51" t="inlineStr">
        <is>
          <t>Lithium carbonates</t>
        </is>
      </c>
      <c r="E51" t="inlineStr">
        <is>
          <t>Austria</t>
        </is>
      </c>
      <c r="F51" t="inlineStr">
        <is>
          <t>587.94</t>
        </is>
      </c>
      <c r="G51" t="inlineStr">
        <is>
          <t>12,950</t>
        </is>
      </c>
      <c r="H51" t="inlineStr">
        <is>
          <t>Kg</t>
        </is>
      </c>
      <c r="I51">
        <f>VALUE(SUBSTITUTE(F51,",",""))*1000</f>
        <v/>
      </c>
      <c r="J51">
        <f>VALUE(SUBSTITUTE(G51,",",""))</f>
        <v/>
      </c>
      <c r="K51">
        <f>E51="World"</f>
        <v/>
      </c>
      <c r="L51">
        <f>IF(J51=0,0,I51/J51)</f>
        <v/>
      </c>
      <c r="M51">
        <f>IF(K51,"",IF(E51="India","Re-import",IF(L51&lt;Lookups!$K$2,"Unit value below floor","")))</f>
        <v/>
      </c>
      <c r="N51">
        <f>IF(AND(NOT(K51),M51=""),1,0)</f>
        <v/>
      </c>
      <c r="O51">
        <f>SUMIFS($I$2:$I$190,$B$2:$B$190,B51,$C$2:$C$190,C51,$N$2:$N$190,1)/SUMIFS($J$2:$J$190,$B$2:$B$190,B51,$C$2:$C$190,C51,$N$2:$N$190,1)</f>
        <v/>
      </c>
      <c r="P51">
        <f>IF(K51,"",IF(M51="Unit value below floor",I51/O51,J51))</f>
        <v/>
      </c>
      <c r="Q51">
        <f>IF(K51,"",P51/1000*VLOOKUP(C51,Lookups!$G$2:$H$3,2,FALSE))</f>
        <v/>
      </c>
    </row>
    <row r="52">
      <c r="A52" t="inlineStr">
        <is>
          <t>India</t>
        </is>
      </c>
      <c r="B52" t="n">
        <v>2021</v>
      </c>
      <c r="C52" t="inlineStr">
        <is>
          <t>283691</t>
        </is>
      </c>
      <c r="D52" t="inlineStr">
        <is>
          <t>Lithium carbonates</t>
        </is>
      </c>
      <c r="E52" t="inlineStr">
        <is>
          <t>Singapore</t>
        </is>
      </c>
      <c r="F52" t="inlineStr">
        <is>
          <t>577.63</t>
        </is>
      </c>
      <c r="G52" t="inlineStr">
        <is>
          <t>16,000</t>
        </is>
      </c>
      <c r="H52" t="inlineStr">
        <is>
          <t>Kg</t>
        </is>
      </c>
      <c r="I52">
        <f>VALUE(SUBSTITUTE(F52,",",""))*1000</f>
        <v/>
      </c>
      <c r="J52">
        <f>VALUE(SUBSTITUTE(G52,",",""))</f>
        <v/>
      </c>
      <c r="K52">
        <f>E52="World"</f>
        <v/>
      </c>
      <c r="L52">
        <f>IF(J52=0,0,I52/J52)</f>
        <v/>
      </c>
      <c r="M52">
        <f>IF(K52,"",IF(E52="India","Re-import",IF(L52&lt;Lookups!$K$2,"Unit value below floor","")))</f>
        <v/>
      </c>
      <c r="N52">
        <f>IF(AND(NOT(K52),M52=""),1,0)</f>
        <v/>
      </c>
      <c r="O52">
        <f>SUMIFS($I$2:$I$190,$B$2:$B$190,B52,$C$2:$C$190,C52,$N$2:$N$190,1)/SUMIFS($J$2:$J$190,$B$2:$B$190,B52,$C$2:$C$190,C52,$N$2:$N$190,1)</f>
        <v/>
      </c>
      <c r="P52">
        <f>IF(K52,"",IF(M52="Unit value below floor",I52/O52,J52))</f>
        <v/>
      </c>
      <c r="Q52">
        <f>IF(K52,"",P52/1000*VLOOKUP(C52,Lookups!$G$2:$H$3,2,FALSE))</f>
        <v/>
      </c>
    </row>
    <row r="53">
      <c r="A53" t="inlineStr">
        <is>
          <t>India</t>
        </is>
      </c>
      <c r="B53" t="n">
        <v>2021</v>
      </c>
      <c r="C53" t="inlineStr">
        <is>
          <t>283691</t>
        </is>
      </c>
      <c r="D53" t="inlineStr">
        <is>
          <t>Lithium carbonates</t>
        </is>
      </c>
      <c r="E53" t="inlineStr">
        <is>
          <t>China</t>
        </is>
      </c>
      <c r="F53" t="inlineStr">
        <is>
          <t>458.55</t>
        </is>
      </c>
      <c r="G53" t="inlineStr">
        <is>
          <t>43,675</t>
        </is>
      </c>
      <c r="H53" t="inlineStr">
        <is>
          <t>Kg</t>
        </is>
      </c>
      <c r="I53">
        <f>VALUE(SUBSTITUTE(F53,",",""))*1000</f>
        <v/>
      </c>
      <c r="J53">
        <f>VALUE(SUBSTITUTE(G53,",",""))</f>
        <v/>
      </c>
      <c r="K53">
        <f>E53="World"</f>
        <v/>
      </c>
      <c r="L53">
        <f>IF(J53=0,0,I53/J53)</f>
        <v/>
      </c>
      <c r="M53">
        <f>IF(K53,"",IF(E53="India","Re-import",IF(L53&lt;Lookups!$K$2,"Unit value below floor","")))</f>
        <v/>
      </c>
      <c r="N53">
        <f>IF(AND(NOT(K53),M53=""),1,0)</f>
        <v/>
      </c>
      <c r="O53">
        <f>SUMIFS($I$2:$I$190,$B$2:$B$190,B53,$C$2:$C$190,C53,$N$2:$N$190,1)/SUMIFS($J$2:$J$190,$B$2:$B$190,B53,$C$2:$C$190,C53,$N$2:$N$190,1)</f>
        <v/>
      </c>
      <c r="P53">
        <f>IF(K53,"",IF(M53="Unit value below floor",I53/O53,J53))</f>
        <v/>
      </c>
      <c r="Q53">
        <f>IF(K53,"",P53/1000*VLOOKUP(C53,Lookups!$G$2:$H$3,2,FALSE))</f>
        <v/>
      </c>
    </row>
    <row r="54">
      <c r="A54" t="inlineStr">
        <is>
          <t>India</t>
        </is>
      </c>
      <c r="B54" t="n">
        <v>2021</v>
      </c>
      <c r="C54" t="inlineStr">
        <is>
          <t>283691</t>
        </is>
      </c>
      <c r="D54" t="inlineStr">
        <is>
          <t>Lithium carbonates</t>
        </is>
      </c>
      <c r="E54" t="inlineStr">
        <is>
          <t>Slovenia</t>
        </is>
      </c>
      <c r="F54" t="inlineStr">
        <is>
          <t>377.73</t>
        </is>
      </c>
      <c r="G54" t="inlineStr">
        <is>
          <t>8,000</t>
        </is>
      </c>
      <c r="H54" t="inlineStr">
        <is>
          <t>Kg</t>
        </is>
      </c>
      <c r="I54">
        <f>VALUE(SUBSTITUTE(F54,",",""))*1000</f>
        <v/>
      </c>
      <c r="J54">
        <f>VALUE(SUBSTITUTE(G54,",",""))</f>
        <v/>
      </c>
      <c r="K54">
        <f>E54="World"</f>
        <v/>
      </c>
      <c r="L54">
        <f>IF(J54=0,0,I54/J54)</f>
        <v/>
      </c>
      <c r="M54">
        <f>IF(K54,"",IF(E54="India","Re-import",IF(L54&lt;Lookups!$K$2,"Unit value below floor","")))</f>
        <v/>
      </c>
      <c r="N54">
        <f>IF(AND(NOT(K54),M54=""),1,0)</f>
        <v/>
      </c>
      <c r="O54">
        <f>SUMIFS($I$2:$I$190,$B$2:$B$190,B54,$C$2:$C$190,C54,$N$2:$N$190,1)/SUMIFS($J$2:$J$190,$B$2:$B$190,B54,$C$2:$C$190,C54,$N$2:$N$190,1)</f>
        <v/>
      </c>
      <c r="P54">
        <f>IF(K54,"",IF(M54="Unit value below floor",I54/O54,J54))</f>
        <v/>
      </c>
      <c r="Q54">
        <f>IF(K54,"",P54/1000*VLOOKUP(C54,Lookups!$G$2:$H$3,2,FALSE))</f>
        <v/>
      </c>
    </row>
    <row r="55">
      <c r="A55" t="inlineStr">
        <is>
          <t>India</t>
        </is>
      </c>
      <c r="B55" t="n">
        <v>2021</v>
      </c>
      <c r="C55" t="inlineStr">
        <is>
          <t>283691</t>
        </is>
      </c>
      <c r="D55" t="inlineStr">
        <is>
          <t>Lithium carbonates</t>
        </is>
      </c>
      <c r="E55" t="inlineStr">
        <is>
          <t>Chile</t>
        </is>
      </c>
      <c r="F55" t="inlineStr">
        <is>
          <t>361.50</t>
        </is>
      </c>
      <c r="G55" t="inlineStr">
        <is>
          <t>46,500</t>
        </is>
      </c>
      <c r="H55" t="inlineStr">
        <is>
          <t>Kg</t>
        </is>
      </c>
      <c r="I55">
        <f>VALUE(SUBSTITUTE(F55,",",""))*1000</f>
        <v/>
      </c>
      <c r="J55">
        <f>VALUE(SUBSTITUTE(G55,",",""))</f>
        <v/>
      </c>
      <c r="K55">
        <f>E55="World"</f>
        <v/>
      </c>
      <c r="L55">
        <f>IF(J55=0,0,I55/J55)</f>
        <v/>
      </c>
      <c r="M55">
        <f>IF(K55,"",IF(E55="India","Re-import",IF(L55&lt;Lookups!$K$2,"Unit value below floor","")))</f>
        <v/>
      </c>
      <c r="N55">
        <f>IF(AND(NOT(K55),M55=""),1,0)</f>
        <v/>
      </c>
      <c r="O55">
        <f>SUMIFS($I$2:$I$190,$B$2:$B$190,B55,$C$2:$C$190,C55,$N$2:$N$190,1)/SUMIFS($J$2:$J$190,$B$2:$B$190,B55,$C$2:$C$190,C55,$N$2:$N$190,1)</f>
        <v/>
      </c>
      <c r="P55">
        <f>IF(K55,"",IF(M55="Unit value below floor",I55/O55,J55))</f>
        <v/>
      </c>
      <c r="Q55">
        <f>IF(K55,"",P55/1000*VLOOKUP(C55,Lookups!$G$2:$H$3,2,FALSE))</f>
        <v/>
      </c>
    </row>
    <row r="56">
      <c r="A56" t="inlineStr">
        <is>
          <t>India</t>
        </is>
      </c>
      <c r="B56" t="n">
        <v>2021</v>
      </c>
      <c r="C56" t="inlineStr">
        <is>
          <t>283691</t>
        </is>
      </c>
      <c r="D56" t="inlineStr">
        <is>
          <t>Lithium carbonates</t>
        </is>
      </c>
      <c r="E56" t="inlineStr">
        <is>
          <t>Germany</t>
        </is>
      </c>
      <c r="F56" t="inlineStr">
        <is>
          <t>355.18</t>
        </is>
      </c>
      <c r="G56" t="inlineStr">
        <is>
          <t>46,203</t>
        </is>
      </c>
      <c r="H56" t="inlineStr">
        <is>
          <t>Kg</t>
        </is>
      </c>
      <c r="I56">
        <f>VALUE(SUBSTITUTE(F56,",",""))*1000</f>
        <v/>
      </c>
      <c r="J56">
        <f>VALUE(SUBSTITUTE(G56,",",""))</f>
        <v/>
      </c>
      <c r="K56">
        <f>E56="World"</f>
        <v/>
      </c>
      <c r="L56">
        <f>IF(J56=0,0,I56/J56)</f>
        <v/>
      </c>
      <c r="M56">
        <f>IF(K56,"",IF(E56="India","Re-import",IF(L56&lt;Lookups!$K$2,"Unit value below floor","")))</f>
        <v/>
      </c>
      <c r="N56">
        <f>IF(AND(NOT(K56),M56=""),1,0)</f>
        <v/>
      </c>
      <c r="O56">
        <f>SUMIFS($I$2:$I$190,$B$2:$B$190,B56,$C$2:$C$190,C56,$N$2:$N$190,1)/SUMIFS($J$2:$J$190,$B$2:$B$190,B56,$C$2:$C$190,C56,$N$2:$N$190,1)</f>
        <v/>
      </c>
      <c r="P56">
        <f>IF(K56,"",IF(M56="Unit value below floor",I56/O56,J56))</f>
        <v/>
      </c>
      <c r="Q56">
        <f>IF(K56,"",P56/1000*VLOOKUP(C56,Lookups!$G$2:$H$3,2,FALSE))</f>
        <v/>
      </c>
    </row>
    <row r="57">
      <c r="A57" t="inlineStr">
        <is>
          <t>India</t>
        </is>
      </c>
      <c r="B57" t="n">
        <v>2021</v>
      </c>
      <c r="C57" t="inlineStr">
        <is>
          <t>283691</t>
        </is>
      </c>
      <c r="D57" t="inlineStr">
        <is>
          <t>Lithium carbonates</t>
        </is>
      </c>
      <c r="E57" t="inlineStr">
        <is>
          <t>Argentina</t>
        </is>
      </c>
      <c r="F57" t="inlineStr">
        <is>
          <t>320.79</t>
        </is>
      </c>
      <c r="G57" t="inlineStr">
        <is>
          <t>32,000</t>
        </is>
      </c>
      <c r="H57" t="inlineStr">
        <is>
          <t>Kg</t>
        </is>
      </c>
      <c r="I57">
        <f>VALUE(SUBSTITUTE(F57,",",""))*1000</f>
        <v/>
      </c>
      <c r="J57">
        <f>VALUE(SUBSTITUTE(G57,",",""))</f>
        <v/>
      </c>
      <c r="K57">
        <f>E57="World"</f>
        <v/>
      </c>
      <c r="L57">
        <f>IF(J57=0,0,I57/J57)</f>
        <v/>
      </c>
      <c r="M57">
        <f>IF(K57,"",IF(E57="India","Re-import",IF(L57&lt;Lookups!$K$2,"Unit value below floor","")))</f>
        <v/>
      </c>
      <c r="N57">
        <f>IF(AND(NOT(K57),M57=""),1,0)</f>
        <v/>
      </c>
      <c r="O57">
        <f>SUMIFS($I$2:$I$190,$B$2:$B$190,B57,$C$2:$C$190,C57,$N$2:$N$190,1)/SUMIFS($J$2:$J$190,$B$2:$B$190,B57,$C$2:$C$190,C57,$N$2:$N$190,1)</f>
        <v/>
      </c>
      <c r="P57">
        <f>IF(K57,"",IF(M57="Unit value below floor",I57/O57,J57))</f>
        <v/>
      </c>
      <c r="Q57">
        <f>IF(K57,"",P57/1000*VLOOKUP(C57,Lookups!$G$2:$H$3,2,FALSE))</f>
        <v/>
      </c>
    </row>
    <row r="58">
      <c r="A58" t="inlineStr">
        <is>
          <t>India</t>
        </is>
      </c>
      <c r="B58" t="n">
        <v>2021</v>
      </c>
      <c r="C58" t="inlineStr">
        <is>
          <t>283691</t>
        </is>
      </c>
      <c r="D58" t="inlineStr">
        <is>
          <t>Lithium carbonates</t>
        </is>
      </c>
      <c r="E58" t="inlineStr">
        <is>
          <t>United Kingdom</t>
        </is>
      </c>
      <c r="F58" t="inlineStr">
        <is>
          <t>224.40</t>
        </is>
      </c>
      <c r="G58" t="inlineStr">
        <is>
          <t>30,086</t>
        </is>
      </c>
      <c r="H58" t="inlineStr">
        <is>
          <t>Kg</t>
        </is>
      </c>
      <c r="I58">
        <f>VALUE(SUBSTITUTE(F58,",",""))*1000</f>
        <v/>
      </c>
      <c r="J58">
        <f>VALUE(SUBSTITUTE(G58,",",""))</f>
        <v/>
      </c>
      <c r="K58">
        <f>E58="World"</f>
        <v/>
      </c>
      <c r="L58">
        <f>IF(J58=0,0,I58/J58)</f>
        <v/>
      </c>
      <c r="M58">
        <f>IF(K58,"",IF(E58="India","Re-import",IF(L58&lt;Lookups!$K$2,"Unit value below floor","")))</f>
        <v/>
      </c>
      <c r="N58">
        <f>IF(AND(NOT(K58),M58=""),1,0)</f>
        <v/>
      </c>
      <c r="O58">
        <f>SUMIFS($I$2:$I$190,$B$2:$B$190,B58,$C$2:$C$190,C58,$N$2:$N$190,1)/SUMIFS($J$2:$J$190,$B$2:$B$190,B58,$C$2:$C$190,C58,$N$2:$N$190,1)</f>
        <v/>
      </c>
      <c r="P58">
        <f>IF(K58,"",IF(M58="Unit value below floor",I58/O58,J58))</f>
        <v/>
      </c>
      <c r="Q58">
        <f>IF(K58,"",P58/1000*VLOOKUP(C58,Lookups!$G$2:$H$3,2,FALSE))</f>
        <v/>
      </c>
    </row>
    <row r="59">
      <c r="A59" t="inlineStr">
        <is>
          <t>India</t>
        </is>
      </c>
      <c r="B59" t="n">
        <v>2021</v>
      </c>
      <c r="C59" t="inlineStr">
        <is>
          <t>283691</t>
        </is>
      </c>
      <c r="D59" t="inlineStr">
        <is>
          <t>Lithium carbonates</t>
        </is>
      </c>
      <c r="E59" t="inlineStr">
        <is>
          <t>Canada</t>
        </is>
      </c>
      <c r="F59" t="inlineStr">
        <is>
          <t>197.50</t>
        </is>
      </c>
      <c r="G59" t="inlineStr">
        <is>
          <t>4,000</t>
        </is>
      </c>
      <c r="H59" t="inlineStr">
        <is>
          <t>Kg</t>
        </is>
      </c>
      <c r="I59">
        <f>VALUE(SUBSTITUTE(F59,",",""))*1000</f>
        <v/>
      </c>
      <c r="J59">
        <f>VALUE(SUBSTITUTE(G59,",",""))</f>
        <v/>
      </c>
      <c r="K59">
        <f>E59="World"</f>
        <v/>
      </c>
      <c r="L59">
        <f>IF(J59=0,0,I59/J59)</f>
        <v/>
      </c>
      <c r="M59">
        <f>IF(K59,"",IF(E59="India","Re-import",IF(L59&lt;Lookups!$K$2,"Unit value below floor","")))</f>
        <v/>
      </c>
      <c r="N59">
        <f>IF(AND(NOT(K59),M59=""),1,0)</f>
        <v/>
      </c>
      <c r="O59">
        <f>SUMIFS($I$2:$I$190,$B$2:$B$190,B59,$C$2:$C$190,C59,$N$2:$N$190,1)/SUMIFS($J$2:$J$190,$B$2:$B$190,B59,$C$2:$C$190,C59,$N$2:$N$190,1)</f>
        <v/>
      </c>
      <c r="P59">
        <f>IF(K59,"",IF(M59="Unit value below floor",I59/O59,J59))</f>
        <v/>
      </c>
      <c r="Q59">
        <f>IF(K59,"",P59/1000*VLOOKUP(C59,Lookups!$G$2:$H$3,2,FALSE))</f>
        <v/>
      </c>
    </row>
    <row r="60">
      <c r="A60" t="inlineStr">
        <is>
          <t>India</t>
        </is>
      </c>
      <c r="B60" t="n">
        <v>2021</v>
      </c>
      <c r="C60" t="inlineStr">
        <is>
          <t>283691</t>
        </is>
      </c>
      <c r="D60" t="inlineStr">
        <is>
          <t>Lithium carbonates</t>
        </is>
      </c>
      <c r="E60" t="inlineStr">
        <is>
          <t>Ireland</t>
        </is>
      </c>
      <c r="F60" t="inlineStr">
        <is>
          <t>169.50</t>
        </is>
      </c>
      <c r="G60" t="inlineStr">
        <is>
          <t>300,000</t>
        </is>
      </c>
      <c r="H60" t="inlineStr">
        <is>
          <t>Kg</t>
        </is>
      </c>
      <c r="I60">
        <f>VALUE(SUBSTITUTE(F60,",",""))*1000</f>
        <v/>
      </c>
      <c r="J60">
        <f>VALUE(SUBSTITUTE(G60,",",""))</f>
        <v/>
      </c>
      <c r="K60">
        <f>E60="World"</f>
        <v/>
      </c>
      <c r="L60">
        <f>IF(J60=0,0,I60/J60)</f>
        <v/>
      </c>
      <c r="M60">
        <f>IF(K60,"",IF(E60="India","Re-import",IF(L60&lt;Lookups!$K$2,"Unit value below floor","")))</f>
        <v/>
      </c>
      <c r="N60">
        <f>IF(AND(NOT(K60),M60=""),1,0)</f>
        <v/>
      </c>
      <c r="O60">
        <f>SUMIFS($I$2:$I$190,$B$2:$B$190,B60,$C$2:$C$190,C60,$N$2:$N$190,1)/SUMIFS($J$2:$J$190,$B$2:$B$190,B60,$C$2:$C$190,C60,$N$2:$N$190,1)</f>
        <v/>
      </c>
      <c r="P60">
        <f>IF(K60,"",IF(M60="Unit value below floor",I60/O60,J60))</f>
        <v/>
      </c>
      <c r="Q60">
        <f>IF(K60,"",P60/1000*VLOOKUP(C60,Lookups!$G$2:$H$3,2,FALSE))</f>
        <v/>
      </c>
    </row>
    <row r="61">
      <c r="A61" t="inlineStr">
        <is>
          <t>India</t>
        </is>
      </c>
      <c r="B61" t="n">
        <v>2022</v>
      </c>
      <c r="C61" t="inlineStr">
        <is>
          <t>283691</t>
        </is>
      </c>
      <c r="D61" t="inlineStr">
        <is>
          <t>Lithium carbonates</t>
        </is>
      </c>
      <c r="E61" t="inlineStr">
        <is>
          <t>World</t>
        </is>
      </c>
      <c r="F61" t="inlineStr">
        <is>
          <t>17,205.25</t>
        </is>
      </c>
      <c r="G61" t="inlineStr">
        <is>
          <t>1,211,440</t>
        </is>
      </c>
      <c r="H61" t="inlineStr">
        <is>
          <t>Kg</t>
        </is>
      </c>
      <c r="I61">
        <f>VALUE(SUBSTITUTE(F61,",",""))*1000</f>
        <v/>
      </c>
      <c r="J61">
        <f>VALUE(SUBSTITUTE(G61,",",""))</f>
        <v/>
      </c>
      <c r="K61">
        <f>E61="World"</f>
        <v/>
      </c>
      <c r="L61">
        <f>IF(J61=0,0,I61/J61)</f>
        <v/>
      </c>
      <c r="M61">
        <f>IF(K61,"",IF(E61="India","Re-import",IF(L61&lt;Lookups!$K$2,"Unit value below floor","")))</f>
        <v/>
      </c>
      <c r="N61">
        <f>IF(AND(NOT(K61),M61=""),1,0)</f>
        <v/>
      </c>
      <c r="O61">
        <f>SUMIFS($I$2:$I$190,$B$2:$B$190,B61,$C$2:$C$190,C61,$N$2:$N$190,1)/SUMIFS($J$2:$J$190,$B$2:$B$190,B61,$C$2:$C$190,C61,$N$2:$N$190,1)</f>
        <v/>
      </c>
      <c r="P61">
        <f>IF(K61,"",IF(M61="Unit value below floor",I61/O61,J61))</f>
        <v/>
      </c>
      <c r="Q61">
        <f>IF(K61,"",P61/1000*VLOOKUP(C61,Lookups!$G$2:$H$3,2,FALSE))</f>
        <v/>
      </c>
    </row>
    <row r="62">
      <c r="A62" t="inlineStr">
        <is>
          <t>India</t>
        </is>
      </c>
      <c r="B62" t="n">
        <v>2022</v>
      </c>
      <c r="C62" t="inlineStr">
        <is>
          <t>283691</t>
        </is>
      </c>
      <c r="D62" t="inlineStr">
        <is>
          <t>Lithium carbonates</t>
        </is>
      </c>
      <c r="E62" t="inlineStr">
        <is>
          <t>Belgium</t>
        </is>
      </c>
      <c r="F62" t="inlineStr">
        <is>
          <t>10,562.90</t>
        </is>
      </c>
      <c r="G62" t="inlineStr">
        <is>
          <t>243,800</t>
        </is>
      </c>
      <c r="H62" t="inlineStr">
        <is>
          <t>Kg</t>
        </is>
      </c>
      <c r="I62">
        <f>VALUE(SUBSTITUTE(F62,",",""))*1000</f>
        <v/>
      </c>
      <c r="J62">
        <f>VALUE(SUBSTITUTE(G62,",",""))</f>
        <v/>
      </c>
      <c r="K62">
        <f>E62="World"</f>
        <v/>
      </c>
      <c r="L62">
        <f>IF(J62=0,0,I62/J62)</f>
        <v/>
      </c>
      <c r="M62">
        <f>IF(K62,"",IF(E62="India","Re-import",IF(L62&lt;Lookups!$K$2,"Unit value below floor","")))</f>
        <v/>
      </c>
      <c r="N62">
        <f>IF(AND(NOT(K62),M62=""),1,0)</f>
        <v/>
      </c>
      <c r="O62">
        <f>SUMIFS($I$2:$I$190,$B$2:$B$190,B62,$C$2:$C$190,C62,$N$2:$N$190,1)/SUMIFS($J$2:$J$190,$B$2:$B$190,B62,$C$2:$C$190,C62,$N$2:$N$190,1)</f>
        <v/>
      </c>
      <c r="P62">
        <f>IF(K62,"",IF(M62="Unit value below floor",I62/O62,J62))</f>
        <v/>
      </c>
      <c r="Q62">
        <f>IF(K62,"",P62/1000*VLOOKUP(C62,Lookups!$G$2:$H$3,2,FALSE))</f>
        <v/>
      </c>
    </row>
    <row r="63">
      <c r="A63" t="inlineStr">
        <is>
          <t>India</t>
        </is>
      </c>
      <c r="B63" t="n">
        <v>2022</v>
      </c>
      <c r="C63" t="inlineStr">
        <is>
          <t>283691</t>
        </is>
      </c>
      <c r="D63" t="inlineStr">
        <is>
          <t>Lithium carbonates</t>
        </is>
      </c>
      <c r="E63" t="inlineStr">
        <is>
          <t>United States</t>
        </is>
      </c>
      <c r="F63" t="inlineStr">
        <is>
          <t>2,732.03</t>
        </is>
      </c>
      <c r="G63" t="inlineStr">
        <is>
          <t>56,731</t>
        </is>
      </c>
      <c r="H63" t="inlineStr">
        <is>
          <t>Kg</t>
        </is>
      </c>
      <c r="I63">
        <f>VALUE(SUBSTITUTE(F63,",",""))*1000</f>
        <v/>
      </c>
      <c r="J63">
        <f>VALUE(SUBSTITUTE(G63,",",""))</f>
        <v/>
      </c>
      <c r="K63">
        <f>E63="World"</f>
        <v/>
      </c>
      <c r="L63">
        <f>IF(J63=0,0,I63/J63)</f>
        <v/>
      </c>
      <c r="M63">
        <f>IF(K63,"",IF(E63="India","Re-import",IF(L63&lt;Lookups!$K$2,"Unit value below floor","")))</f>
        <v/>
      </c>
      <c r="N63">
        <f>IF(AND(NOT(K63),M63=""),1,0)</f>
        <v/>
      </c>
      <c r="O63">
        <f>SUMIFS($I$2:$I$190,$B$2:$B$190,B63,$C$2:$C$190,C63,$N$2:$N$190,1)/SUMIFS($J$2:$J$190,$B$2:$B$190,B63,$C$2:$C$190,C63,$N$2:$N$190,1)</f>
        <v/>
      </c>
      <c r="P63">
        <f>IF(K63,"",IF(M63="Unit value below floor",I63/O63,J63))</f>
        <v/>
      </c>
      <c r="Q63">
        <f>IF(K63,"",P63/1000*VLOOKUP(C63,Lookups!$G$2:$H$3,2,FALSE))</f>
        <v/>
      </c>
    </row>
    <row r="64">
      <c r="A64" t="inlineStr">
        <is>
          <t>India</t>
        </is>
      </c>
      <c r="B64" t="n">
        <v>2022</v>
      </c>
      <c r="C64" t="inlineStr">
        <is>
          <t>283691</t>
        </is>
      </c>
      <c r="D64" t="inlineStr">
        <is>
          <t>Lithium carbonates</t>
        </is>
      </c>
      <c r="E64" t="inlineStr">
        <is>
          <t>United Kingdom</t>
        </is>
      </c>
      <c r="F64" t="inlineStr">
        <is>
          <t>1,357.84</t>
        </is>
      </c>
      <c r="G64" t="inlineStr">
        <is>
          <t>20,000</t>
        </is>
      </c>
      <c r="H64" t="inlineStr">
        <is>
          <t>Kg</t>
        </is>
      </c>
      <c r="I64">
        <f>VALUE(SUBSTITUTE(F64,",",""))*1000</f>
        <v/>
      </c>
      <c r="J64">
        <f>VALUE(SUBSTITUTE(G64,",",""))</f>
        <v/>
      </c>
      <c r="K64">
        <f>E64="World"</f>
        <v/>
      </c>
      <c r="L64">
        <f>IF(J64=0,0,I64/J64)</f>
        <v/>
      </c>
      <c r="M64">
        <f>IF(K64,"",IF(E64="India","Re-import",IF(L64&lt;Lookups!$K$2,"Unit value below floor","")))</f>
        <v/>
      </c>
      <c r="N64">
        <f>IF(AND(NOT(K64),M64=""),1,0)</f>
        <v/>
      </c>
      <c r="O64">
        <f>SUMIFS($I$2:$I$190,$B$2:$B$190,B64,$C$2:$C$190,C64,$N$2:$N$190,1)/SUMIFS($J$2:$J$190,$B$2:$B$190,B64,$C$2:$C$190,C64,$N$2:$N$190,1)</f>
        <v/>
      </c>
      <c r="P64">
        <f>IF(K64,"",IF(M64="Unit value below floor",I64/O64,J64))</f>
        <v/>
      </c>
      <c r="Q64">
        <f>IF(K64,"",P64/1000*VLOOKUP(C64,Lookups!$G$2:$H$3,2,FALSE))</f>
        <v/>
      </c>
    </row>
    <row r="65">
      <c r="A65" t="inlineStr">
        <is>
          <t>India</t>
        </is>
      </c>
      <c r="B65" t="n">
        <v>2022</v>
      </c>
      <c r="C65" t="inlineStr">
        <is>
          <t>283691</t>
        </is>
      </c>
      <c r="D65" t="inlineStr">
        <is>
          <t>Lithium carbonates</t>
        </is>
      </c>
      <c r="E65" t="inlineStr">
        <is>
          <t>Germany</t>
        </is>
      </c>
      <c r="F65" t="inlineStr">
        <is>
          <t>845.47</t>
        </is>
      </c>
      <c r="G65" t="inlineStr">
        <is>
          <t>38,058</t>
        </is>
      </c>
      <c r="H65" t="inlineStr">
        <is>
          <t>Kg</t>
        </is>
      </c>
      <c r="I65">
        <f>VALUE(SUBSTITUTE(F65,",",""))*1000</f>
        <v/>
      </c>
      <c r="J65">
        <f>VALUE(SUBSTITUTE(G65,",",""))</f>
        <v/>
      </c>
      <c r="K65">
        <f>E65="World"</f>
        <v/>
      </c>
      <c r="L65">
        <f>IF(J65=0,0,I65/J65)</f>
        <v/>
      </c>
      <c r="M65">
        <f>IF(K65,"",IF(E65="India","Re-import",IF(L65&lt;Lookups!$K$2,"Unit value below floor","")))</f>
        <v/>
      </c>
      <c r="N65">
        <f>IF(AND(NOT(K65),M65=""),1,0)</f>
        <v/>
      </c>
      <c r="O65">
        <f>SUMIFS($I$2:$I$190,$B$2:$B$190,B65,$C$2:$C$190,C65,$N$2:$N$190,1)/SUMIFS($J$2:$J$190,$B$2:$B$190,B65,$C$2:$C$190,C65,$N$2:$N$190,1)</f>
        <v/>
      </c>
      <c r="P65">
        <f>IF(K65,"",IF(M65="Unit value below floor",I65/O65,J65))</f>
        <v/>
      </c>
      <c r="Q65">
        <f>IF(K65,"",P65/1000*VLOOKUP(C65,Lookups!$G$2:$H$3,2,FALSE))</f>
        <v/>
      </c>
    </row>
    <row r="66">
      <c r="A66" t="inlineStr">
        <is>
          <t>India</t>
        </is>
      </c>
      <c r="B66" t="n">
        <v>2022</v>
      </c>
      <c r="C66" t="inlineStr">
        <is>
          <t>283691</t>
        </is>
      </c>
      <c r="D66" t="inlineStr">
        <is>
          <t>Lithium carbonates</t>
        </is>
      </c>
      <c r="E66" t="inlineStr">
        <is>
          <t>Slovenia</t>
        </is>
      </c>
      <c r="F66" t="inlineStr">
        <is>
          <t>688.23</t>
        </is>
      </c>
      <c r="G66" t="inlineStr">
        <is>
          <t>15,000</t>
        </is>
      </c>
      <c r="H66" t="inlineStr">
        <is>
          <t>Kg</t>
        </is>
      </c>
      <c r="I66">
        <f>VALUE(SUBSTITUTE(F66,",",""))*1000</f>
        <v/>
      </c>
      <c r="J66">
        <f>VALUE(SUBSTITUTE(G66,",",""))</f>
        <v/>
      </c>
      <c r="K66">
        <f>E66="World"</f>
        <v/>
      </c>
      <c r="L66">
        <f>IF(J66=0,0,I66/J66)</f>
        <v/>
      </c>
      <c r="M66">
        <f>IF(K66,"",IF(E66="India","Re-import",IF(L66&lt;Lookups!$K$2,"Unit value below floor","")))</f>
        <v/>
      </c>
      <c r="N66">
        <f>IF(AND(NOT(K66),M66=""),1,0)</f>
        <v/>
      </c>
      <c r="O66">
        <f>SUMIFS($I$2:$I$190,$B$2:$B$190,B66,$C$2:$C$190,C66,$N$2:$N$190,1)/SUMIFS($J$2:$J$190,$B$2:$B$190,B66,$C$2:$C$190,C66,$N$2:$N$190,1)</f>
        <v/>
      </c>
      <c r="P66">
        <f>IF(K66,"",IF(M66="Unit value below floor",I66/O66,J66))</f>
        <v/>
      </c>
      <c r="Q66">
        <f>IF(K66,"",P66/1000*VLOOKUP(C66,Lookups!$G$2:$H$3,2,FALSE))</f>
        <v/>
      </c>
    </row>
    <row r="67">
      <c r="A67" t="inlineStr">
        <is>
          <t>India</t>
        </is>
      </c>
      <c r="B67" t="n">
        <v>2022</v>
      </c>
      <c r="C67" t="inlineStr">
        <is>
          <t>283691</t>
        </is>
      </c>
      <c r="D67" t="inlineStr">
        <is>
          <t>Lithium carbonates</t>
        </is>
      </c>
      <c r="E67" t="inlineStr">
        <is>
          <t>Argentina</t>
        </is>
      </c>
      <c r="F67" t="inlineStr">
        <is>
          <t>531.51</t>
        </is>
      </c>
      <c r="G67" t="inlineStr">
        <is>
          <t>36,000</t>
        </is>
      </c>
      <c r="H67" t="inlineStr">
        <is>
          <t>Kg</t>
        </is>
      </c>
      <c r="I67">
        <f>VALUE(SUBSTITUTE(F67,",",""))*1000</f>
        <v/>
      </c>
      <c r="J67">
        <f>VALUE(SUBSTITUTE(G67,",",""))</f>
        <v/>
      </c>
      <c r="K67">
        <f>E67="World"</f>
        <v/>
      </c>
      <c r="L67">
        <f>IF(J67=0,0,I67/J67)</f>
        <v/>
      </c>
      <c r="M67">
        <f>IF(K67,"",IF(E67="India","Re-import",IF(L67&lt;Lookups!$K$2,"Unit value below floor","")))</f>
        <v/>
      </c>
      <c r="N67">
        <f>IF(AND(NOT(K67),M67=""),1,0)</f>
        <v/>
      </c>
      <c r="O67">
        <f>SUMIFS($I$2:$I$190,$B$2:$B$190,B67,$C$2:$C$190,C67,$N$2:$N$190,1)/SUMIFS($J$2:$J$190,$B$2:$B$190,B67,$C$2:$C$190,C67,$N$2:$N$190,1)</f>
        <v/>
      </c>
      <c r="P67">
        <f>IF(K67,"",IF(M67="Unit value below floor",I67/O67,J67))</f>
        <v/>
      </c>
      <c r="Q67">
        <f>IF(K67,"",P67/1000*VLOOKUP(C67,Lookups!$G$2:$H$3,2,FALSE))</f>
        <v/>
      </c>
    </row>
    <row r="68">
      <c r="A68" t="inlineStr">
        <is>
          <t>India</t>
        </is>
      </c>
      <c r="B68" t="n">
        <v>2022</v>
      </c>
      <c r="C68" t="inlineStr">
        <is>
          <t>283691</t>
        </is>
      </c>
      <c r="D68" t="inlineStr">
        <is>
          <t>Lithium carbonates</t>
        </is>
      </c>
      <c r="E68" t="inlineStr">
        <is>
          <t>Netherlands</t>
        </is>
      </c>
      <c r="F68" t="inlineStr">
        <is>
          <t>330.74</t>
        </is>
      </c>
      <c r="G68" t="inlineStr">
        <is>
          <t>600,000</t>
        </is>
      </c>
      <c r="H68" t="inlineStr">
        <is>
          <t>Kg</t>
        </is>
      </c>
      <c r="I68">
        <f>VALUE(SUBSTITUTE(F68,",",""))*1000</f>
        <v/>
      </c>
      <c r="J68">
        <f>VALUE(SUBSTITUTE(G68,",",""))</f>
        <v/>
      </c>
      <c r="K68">
        <f>E68="World"</f>
        <v/>
      </c>
      <c r="L68">
        <f>IF(J68=0,0,I68/J68)</f>
        <v/>
      </c>
      <c r="M68">
        <f>IF(K68,"",IF(E68="India","Re-import",IF(L68&lt;Lookups!$K$2,"Unit value below floor","")))</f>
        <v/>
      </c>
      <c r="N68">
        <f>IF(AND(NOT(K68),M68=""),1,0)</f>
        <v/>
      </c>
      <c r="O68">
        <f>SUMIFS($I$2:$I$190,$B$2:$B$190,B68,$C$2:$C$190,C68,$N$2:$N$190,1)/SUMIFS($J$2:$J$190,$B$2:$B$190,B68,$C$2:$C$190,C68,$N$2:$N$190,1)</f>
        <v/>
      </c>
      <c r="P68">
        <f>IF(K68,"",IF(M68="Unit value below floor",I68/O68,J68))</f>
        <v/>
      </c>
      <c r="Q68">
        <f>IF(K68,"",P68/1000*VLOOKUP(C68,Lookups!$G$2:$H$3,2,FALSE))</f>
        <v/>
      </c>
    </row>
    <row r="69">
      <c r="A69" t="inlineStr">
        <is>
          <t>India</t>
        </is>
      </c>
      <c r="B69" t="n">
        <v>2022</v>
      </c>
      <c r="C69" t="inlineStr">
        <is>
          <t>283691</t>
        </is>
      </c>
      <c r="D69" t="inlineStr">
        <is>
          <t>Lithium carbonates</t>
        </is>
      </c>
      <c r="E69" t="inlineStr">
        <is>
          <t>Ireland</t>
        </is>
      </c>
      <c r="F69" t="inlineStr">
        <is>
          <t>106.68</t>
        </is>
      </c>
      <c r="G69" t="inlineStr">
        <is>
          <t>200,000</t>
        </is>
      </c>
      <c r="H69" t="inlineStr">
        <is>
          <t>Kg</t>
        </is>
      </c>
      <c r="I69">
        <f>VALUE(SUBSTITUTE(F69,",",""))*1000</f>
        <v/>
      </c>
      <c r="J69">
        <f>VALUE(SUBSTITUTE(G69,",",""))</f>
        <v/>
      </c>
      <c r="K69">
        <f>E69="World"</f>
        <v/>
      </c>
      <c r="L69">
        <f>IF(J69=0,0,I69/J69)</f>
        <v/>
      </c>
      <c r="M69">
        <f>IF(K69,"",IF(E69="India","Re-import",IF(L69&lt;Lookups!$K$2,"Unit value below floor","")))</f>
        <v/>
      </c>
      <c r="N69">
        <f>IF(AND(NOT(K69),M69=""),1,0)</f>
        <v/>
      </c>
      <c r="O69">
        <f>SUMIFS($I$2:$I$190,$B$2:$B$190,B69,$C$2:$C$190,C69,$N$2:$N$190,1)/SUMIFS($J$2:$J$190,$B$2:$B$190,B69,$C$2:$C$190,C69,$N$2:$N$190,1)</f>
        <v/>
      </c>
      <c r="P69">
        <f>IF(K69,"",IF(M69="Unit value below floor",I69/O69,J69))</f>
        <v/>
      </c>
      <c r="Q69">
        <f>IF(K69,"",P69/1000*VLOOKUP(C69,Lookups!$G$2:$H$3,2,FALSE))</f>
        <v/>
      </c>
    </row>
    <row r="70">
      <c r="A70" t="inlineStr">
        <is>
          <t>India</t>
        </is>
      </c>
      <c r="B70" t="n">
        <v>2022</v>
      </c>
      <c r="C70" t="inlineStr">
        <is>
          <t>283691</t>
        </is>
      </c>
      <c r="D70" t="inlineStr">
        <is>
          <t>Lithium carbonates</t>
        </is>
      </c>
      <c r="E70" t="inlineStr">
        <is>
          <t>China</t>
        </is>
      </c>
      <c r="F70" t="inlineStr">
        <is>
          <t>34.67</t>
        </is>
      </c>
      <c r="G70" t="inlineStr">
        <is>
          <t>1,004</t>
        </is>
      </c>
      <c r="H70" t="inlineStr">
        <is>
          <t>Kg</t>
        </is>
      </c>
      <c r="I70">
        <f>VALUE(SUBSTITUTE(F70,",",""))*1000</f>
        <v/>
      </c>
      <c r="J70">
        <f>VALUE(SUBSTITUTE(G70,",",""))</f>
        <v/>
      </c>
      <c r="K70">
        <f>E70="World"</f>
        <v/>
      </c>
      <c r="L70">
        <f>IF(J70=0,0,I70/J70)</f>
        <v/>
      </c>
      <c r="M70">
        <f>IF(K70,"",IF(E70="India","Re-import",IF(L70&lt;Lookups!$K$2,"Unit value below floor","")))</f>
        <v/>
      </c>
      <c r="N70">
        <f>IF(AND(NOT(K70),M70=""),1,0)</f>
        <v/>
      </c>
      <c r="O70">
        <f>SUMIFS($I$2:$I$190,$B$2:$B$190,B70,$C$2:$C$190,C70,$N$2:$N$190,1)/SUMIFS($J$2:$J$190,$B$2:$B$190,B70,$C$2:$C$190,C70,$N$2:$N$190,1)</f>
        <v/>
      </c>
      <c r="P70">
        <f>IF(K70,"",IF(M70="Unit value below floor",I70/O70,J70))</f>
        <v/>
      </c>
      <c r="Q70">
        <f>IF(K70,"",P70/1000*VLOOKUP(C70,Lookups!$G$2:$H$3,2,FALSE))</f>
        <v/>
      </c>
    </row>
    <row r="71">
      <c r="A71" t="inlineStr">
        <is>
          <t>India</t>
        </is>
      </c>
      <c r="B71" t="n">
        <v>2022</v>
      </c>
      <c r="C71" t="inlineStr">
        <is>
          <t>283691</t>
        </is>
      </c>
      <c r="D71" t="inlineStr">
        <is>
          <t>Lithium carbonates</t>
        </is>
      </c>
      <c r="E71" t="inlineStr">
        <is>
          <t>Italy</t>
        </is>
      </c>
      <c r="F71" t="inlineStr">
        <is>
          <t>14.71</t>
        </is>
      </c>
      <c r="G71" t="inlineStr">
        <is>
          <t>800</t>
        </is>
      </c>
      <c r="H71" t="inlineStr">
        <is>
          <t>Kg</t>
        </is>
      </c>
      <c r="I71">
        <f>VALUE(SUBSTITUTE(F71,",",""))*1000</f>
        <v/>
      </c>
      <c r="J71">
        <f>VALUE(SUBSTITUTE(G71,",",""))</f>
        <v/>
      </c>
      <c r="K71">
        <f>E71="World"</f>
        <v/>
      </c>
      <c r="L71">
        <f>IF(J71=0,0,I71/J71)</f>
        <v/>
      </c>
      <c r="M71">
        <f>IF(K71,"",IF(E71="India","Re-import",IF(L71&lt;Lookups!$K$2,"Unit value below floor","")))</f>
        <v/>
      </c>
      <c r="N71">
        <f>IF(AND(NOT(K71),M71=""),1,0)</f>
        <v/>
      </c>
      <c r="O71">
        <f>SUMIFS($I$2:$I$190,$B$2:$B$190,B71,$C$2:$C$190,C71,$N$2:$N$190,1)/SUMIFS($J$2:$J$190,$B$2:$B$190,B71,$C$2:$C$190,C71,$N$2:$N$190,1)</f>
        <v/>
      </c>
      <c r="P71">
        <f>IF(K71,"",IF(M71="Unit value below floor",I71/O71,J71))</f>
        <v/>
      </c>
      <c r="Q71">
        <f>IF(K71,"",P71/1000*VLOOKUP(C71,Lookups!$G$2:$H$3,2,FALSE))</f>
        <v/>
      </c>
    </row>
    <row r="72">
      <c r="A72" t="inlineStr">
        <is>
          <t>India</t>
        </is>
      </c>
      <c r="B72" t="n">
        <v>2022</v>
      </c>
      <c r="C72" t="inlineStr">
        <is>
          <t>283691</t>
        </is>
      </c>
      <c r="D72" t="inlineStr">
        <is>
          <t>Lithium carbonates</t>
        </is>
      </c>
      <c r="E72" t="inlineStr">
        <is>
          <t>Brazil</t>
        </is>
      </c>
      <c r="F72" t="inlineStr">
        <is>
          <t>0.47</t>
        </is>
      </c>
      <c r="G72" t="inlineStr">
        <is>
          <t>50</t>
        </is>
      </c>
      <c r="H72" t="inlineStr">
        <is>
          <t>Kg</t>
        </is>
      </c>
      <c r="I72">
        <f>VALUE(SUBSTITUTE(F72,",",""))*1000</f>
        <v/>
      </c>
      <c r="J72">
        <f>VALUE(SUBSTITUTE(G72,",",""))</f>
        <v/>
      </c>
      <c r="K72">
        <f>E72="World"</f>
        <v/>
      </c>
      <c r="L72">
        <f>IF(J72=0,0,I72/J72)</f>
        <v/>
      </c>
      <c r="M72">
        <f>IF(K72,"",IF(E72="India","Re-import",IF(L72&lt;Lookups!$K$2,"Unit value below floor","")))</f>
        <v/>
      </c>
      <c r="N72">
        <f>IF(AND(NOT(K72),M72=""),1,0)</f>
        <v/>
      </c>
      <c r="O72">
        <f>SUMIFS($I$2:$I$190,$B$2:$B$190,B72,$C$2:$C$190,C72,$N$2:$N$190,1)/SUMIFS($J$2:$J$190,$B$2:$B$190,B72,$C$2:$C$190,C72,$N$2:$N$190,1)</f>
        <v/>
      </c>
      <c r="P72">
        <f>IF(K72,"",IF(M72="Unit value below floor",I72/O72,J72))</f>
        <v/>
      </c>
      <c r="Q72">
        <f>IF(K72,"",P72/1000*VLOOKUP(C72,Lookups!$G$2:$H$3,2,FALSE))</f>
        <v/>
      </c>
    </row>
    <row r="73">
      <c r="A73" t="inlineStr">
        <is>
          <t>India</t>
        </is>
      </c>
      <c r="B73" t="n">
        <v>2023</v>
      </c>
      <c r="C73" t="inlineStr">
        <is>
          <t>283691</t>
        </is>
      </c>
      <c r="D73" t="inlineStr">
        <is>
          <t>Lithium carbonates</t>
        </is>
      </c>
      <c r="E73" t="inlineStr">
        <is>
          <t>World</t>
        </is>
      </c>
      <c r="F73" t="inlineStr">
        <is>
          <t>30,558.21</t>
        </is>
      </c>
      <c r="G73" t="inlineStr">
        <is>
          <t>1,180,180</t>
        </is>
      </c>
      <c r="H73" t="inlineStr">
        <is>
          <t>Kg</t>
        </is>
      </c>
      <c r="I73">
        <f>VALUE(SUBSTITUTE(F73,",",""))*1000</f>
        <v/>
      </c>
      <c r="J73">
        <f>VALUE(SUBSTITUTE(G73,",",""))</f>
        <v/>
      </c>
      <c r="K73">
        <f>E73="World"</f>
        <v/>
      </c>
      <c r="L73">
        <f>IF(J73=0,0,I73/J73)</f>
        <v/>
      </c>
      <c r="M73">
        <f>IF(K73,"",IF(E73="India","Re-import",IF(L73&lt;Lookups!$K$2,"Unit value below floor","")))</f>
        <v/>
      </c>
      <c r="N73">
        <f>IF(AND(NOT(K73),M73=""),1,0)</f>
        <v/>
      </c>
      <c r="O73">
        <f>SUMIFS($I$2:$I$190,$B$2:$B$190,B73,$C$2:$C$190,C73,$N$2:$N$190,1)/SUMIFS($J$2:$J$190,$B$2:$B$190,B73,$C$2:$C$190,C73,$N$2:$N$190,1)</f>
        <v/>
      </c>
      <c r="P73">
        <f>IF(K73,"",IF(M73="Unit value below floor",I73/O73,J73))</f>
        <v/>
      </c>
      <c r="Q73">
        <f>IF(K73,"",P73/1000*VLOOKUP(C73,Lookups!$G$2:$H$3,2,FALSE))</f>
        <v/>
      </c>
    </row>
    <row r="74">
      <c r="A74" t="inlineStr">
        <is>
          <t>India</t>
        </is>
      </c>
      <c r="B74" t="n">
        <v>2023</v>
      </c>
      <c r="C74" t="inlineStr">
        <is>
          <t>283691</t>
        </is>
      </c>
      <c r="D74" t="inlineStr">
        <is>
          <t>Lithium carbonates</t>
        </is>
      </c>
      <c r="E74" t="inlineStr">
        <is>
          <t>Chile</t>
        </is>
      </c>
      <c r="F74" t="inlineStr">
        <is>
          <t>7,675.89</t>
        </is>
      </c>
      <c r="G74" t="inlineStr">
        <is>
          <t>183,600</t>
        </is>
      </c>
      <c r="H74" t="inlineStr">
        <is>
          <t>Kg</t>
        </is>
      </c>
      <c r="I74">
        <f>VALUE(SUBSTITUTE(F74,",",""))*1000</f>
        <v/>
      </c>
      <c r="J74">
        <f>VALUE(SUBSTITUTE(G74,",",""))</f>
        <v/>
      </c>
      <c r="K74">
        <f>E74="World"</f>
        <v/>
      </c>
      <c r="L74">
        <f>IF(J74=0,0,I74/J74)</f>
        <v/>
      </c>
      <c r="M74">
        <f>IF(K74,"",IF(E74="India","Re-import",IF(L74&lt;Lookups!$K$2,"Unit value below floor","")))</f>
        <v/>
      </c>
      <c r="N74">
        <f>IF(AND(NOT(K74),M74=""),1,0)</f>
        <v/>
      </c>
      <c r="O74">
        <f>SUMIFS($I$2:$I$190,$B$2:$B$190,B74,$C$2:$C$190,C74,$N$2:$N$190,1)/SUMIFS($J$2:$J$190,$B$2:$B$190,B74,$C$2:$C$190,C74,$N$2:$N$190,1)</f>
        <v/>
      </c>
      <c r="P74">
        <f>IF(K74,"",IF(M74="Unit value below floor",I74/O74,J74))</f>
        <v/>
      </c>
      <c r="Q74">
        <f>IF(K74,"",P74/1000*VLOOKUP(C74,Lookups!$G$2:$H$3,2,FALSE))</f>
        <v/>
      </c>
    </row>
    <row r="75">
      <c r="A75" t="inlineStr">
        <is>
          <t>India</t>
        </is>
      </c>
      <c r="B75" t="n">
        <v>2023</v>
      </c>
      <c r="C75" t="inlineStr">
        <is>
          <t>283691</t>
        </is>
      </c>
      <c r="D75" t="inlineStr">
        <is>
          <t>Lithium carbonates</t>
        </is>
      </c>
      <c r="E75" t="inlineStr">
        <is>
          <t>United States</t>
        </is>
      </c>
      <c r="F75" t="inlineStr">
        <is>
          <t>7,447.19</t>
        </is>
      </c>
      <c r="G75" t="inlineStr">
        <is>
          <t>69,125</t>
        </is>
      </c>
      <c r="H75" t="inlineStr">
        <is>
          <t>Kg</t>
        </is>
      </c>
      <c r="I75">
        <f>VALUE(SUBSTITUTE(F75,",",""))*1000</f>
        <v/>
      </c>
      <c r="J75">
        <f>VALUE(SUBSTITUTE(G75,",",""))</f>
        <v/>
      </c>
      <c r="K75">
        <f>E75="World"</f>
        <v/>
      </c>
      <c r="L75">
        <f>IF(J75=0,0,I75/J75)</f>
        <v/>
      </c>
      <c r="M75">
        <f>IF(K75,"",IF(E75="India","Re-import",IF(L75&lt;Lookups!$K$2,"Unit value below floor","")))</f>
        <v/>
      </c>
      <c r="N75">
        <f>IF(AND(NOT(K75),M75=""),1,0)</f>
        <v/>
      </c>
      <c r="O75">
        <f>SUMIFS($I$2:$I$190,$B$2:$B$190,B75,$C$2:$C$190,C75,$N$2:$N$190,1)/SUMIFS($J$2:$J$190,$B$2:$B$190,B75,$C$2:$C$190,C75,$N$2:$N$190,1)</f>
        <v/>
      </c>
      <c r="P75">
        <f>IF(K75,"",IF(M75="Unit value below floor",I75/O75,J75))</f>
        <v/>
      </c>
      <c r="Q75">
        <f>IF(K75,"",P75/1000*VLOOKUP(C75,Lookups!$G$2:$H$3,2,FALSE))</f>
        <v/>
      </c>
    </row>
    <row r="76">
      <c r="A76" t="inlineStr">
        <is>
          <t>India</t>
        </is>
      </c>
      <c r="B76" t="n">
        <v>2023</v>
      </c>
      <c r="C76" t="inlineStr">
        <is>
          <t>283691</t>
        </is>
      </c>
      <c r="D76" t="inlineStr">
        <is>
          <t>Lithium carbonates</t>
        </is>
      </c>
      <c r="E76" t="inlineStr">
        <is>
          <t>Argentina</t>
        </is>
      </c>
      <c r="F76" t="inlineStr">
        <is>
          <t>4,803.49</t>
        </is>
      </c>
      <c r="G76" t="inlineStr">
        <is>
          <t>110,000</t>
        </is>
      </c>
      <c r="H76" t="inlineStr">
        <is>
          <t>Kg</t>
        </is>
      </c>
      <c r="I76">
        <f>VALUE(SUBSTITUTE(F76,",",""))*1000</f>
        <v/>
      </c>
      <c r="J76">
        <f>VALUE(SUBSTITUTE(G76,",",""))</f>
        <v/>
      </c>
      <c r="K76">
        <f>E76="World"</f>
        <v/>
      </c>
      <c r="L76">
        <f>IF(J76=0,0,I76/J76)</f>
        <v/>
      </c>
      <c r="M76">
        <f>IF(K76,"",IF(E76="India","Re-import",IF(L76&lt;Lookups!$K$2,"Unit value below floor","")))</f>
        <v/>
      </c>
      <c r="N76">
        <f>IF(AND(NOT(K76),M76=""),1,0)</f>
        <v/>
      </c>
      <c r="O76">
        <f>SUMIFS($I$2:$I$190,$B$2:$B$190,B76,$C$2:$C$190,C76,$N$2:$N$190,1)/SUMIFS($J$2:$J$190,$B$2:$B$190,B76,$C$2:$C$190,C76,$N$2:$N$190,1)</f>
        <v/>
      </c>
      <c r="P76">
        <f>IF(K76,"",IF(M76="Unit value below floor",I76/O76,J76))</f>
        <v/>
      </c>
      <c r="Q76">
        <f>IF(K76,"",P76/1000*VLOOKUP(C76,Lookups!$G$2:$H$3,2,FALSE))</f>
        <v/>
      </c>
    </row>
    <row r="77">
      <c r="A77" t="inlineStr">
        <is>
          <t>India</t>
        </is>
      </c>
      <c r="B77" t="n">
        <v>2023</v>
      </c>
      <c r="C77" t="inlineStr">
        <is>
          <t>283691</t>
        </is>
      </c>
      <c r="D77" t="inlineStr">
        <is>
          <t>Lithium carbonates</t>
        </is>
      </c>
      <c r="E77" t="inlineStr">
        <is>
          <t>China</t>
        </is>
      </c>
      <c r="F77" t="inlineStr">
        <is>
          <t>3,522.33</t>
        </is>
      </c>
      <c r="G77" t="inlineStr">
        <is>
          <t>99,039</t>
        </is>
      </c>
      <c r="H77" t="inlineStr">
        <is>
          <t>Kg</t>
        </is>
      </c>
      <c r="I77">
        <f>VALUE(SUBSTITUTE(F77,",",""))*1000</f>
        <v/>
      </c>
      <c r="J77">
        <f>VALUE(SUBSTITUTE(G77,",",""))</f>
        <v/>
      </c>
      <c r="K77">
        <f>E77="World"</f>
        <v/>
      </c>
      <c r="L77">
        <f>IF(J77=0,0,I77/J77)</f>
        <v/>
      </c>
      <c r="M77">
        <f>IF(K77,"",IF(E77="India","Re-import",IF(L77&lt;Lookups!$K$2,"Unit value below floor","")))</f>
        <v/>
      </c>
      <c r="N77">
        <f>IF(AND(NOT(K77),M77=""),1,0)</f>
        <v/>
      </c>
      <c r="O77">
        <f>SUMIFS($I$2:$I$190,$B$2:$B$190,B77,$C$2:$C$190,C77,$N$2:$N$190,1)/SUMIFS($J$2:$J$190,$B$2:$B$190,B77,$C$2:$C$190,C77,$N$2:$N$190,1)</f>
        <v/>
      </c>
      <c r="P77">
        <f>IF(K77,"",IF(M77="Unit value below floor",I77/O77,J77))</f>
        <v/>
      </c>
      <c r="Q77">
        <f>IF(K77,"",P77/1000*VLOOKUP(C77,Lookups!$G$2:$H$3,2,FALSE))</f>
        <v/>
      </c>
    </row>
    <row r="78">
      <c r="A78" t="inlineStr">
        <is>
          <t>India</t>
        </is>
      </c>
      <c r="B78" t="n">
        <v>2023</v>
      </c>
      <c r="C78" t="inlineStr">
        <is>
          <t>283691</t>
        </is>
      </c>
      <c r="D78" t="inlineStr">
        <is>
          <t>Lithium carbonates</t>
        </is>
      </c>
      <c r="E78" t="inlineStr">
        <is>
          <t>Brazil</t>
        </is>
      </c>
      <c r="F78" t="inlineStr">
        <is>
          <t>1,712.66</t>
        </is>
      </c>
      <c r="G78" t="inlineStr">
        <is>
          <t>28,100</t>
        </is>
      </c>
      <c r="H78" t="inlineStr">
        <is>
          <t>Kg</t>
        </is>
      </c>
      <c r="I78">
        <f>VALUE(SUBSTITUTE(F78,",",""))*1000</f>
        <v/>
      </c>
      <c r="J78">
        <f>VALUE(SUBSTITUTE(G78,",",""))</f>
        <v/>
      </c>
      <c r="K78">
        <f>E78="World"</f>
        <v/>
      </c>
      <c r="L78">
        <f>IF(J78=0,0,I78/J78)</f>
        <v/>
      </c>
      <c r="M78">
        <f>IF(K78,"",IF(E78="India","Re-import",IF(L78&lt;Lookups!$K$2,"Unit value below floor","")))</f>
        <v/>
      </c>
      <c r="N78">
        <f>IF(AND(NOT(K78),M78=""),1,0)</f>
        <v/>
      </c>
      <c r="O78">
        <f>SUMIFS($I$2:$I$190,$B$2:$B$190,B78,$C$2:$C$190,C78,$N$2:$N$190,1)/SUMIFS($J$2:$J$190,$B$2:$B$190,B78,$C$2:$C$190,C78,$N$2:$N$190,1)</f>
        <v/>
      </c>
      <c r="P78">
        <f>IF(K78,"",IF(M78="Unit value below floor",I78/O78,J78))</f>
        <v/>
      </c>
      <c r="Q78">
        <f>IF(K78,"",P78/1000*VLOOKUP(C78,Lookups!$G$2:$H$3,2,FALSE))</f>
        <v/>
      </c>
    </row>
    <row r="79">
      <c r="A79" t="inlineStr">
        <is>
          <t>India</t>
        </is>
      </c>
      <c r="B79" t="n">
        <v>2023</v>
      </c>
      <c r="C79" t="inlineStr">
        <is>
          <t>283691</t>
        </is>
      </c>
      <c r="D79" t="inlineStr">
        <is>
          <t>Lithium carbonates</t>
        </is>
      </c>
      <c r="E79" t="inlineStr">
        <is>
          <t>United Kingdom</t>
        </is>
      </c>
      <c r="F79" t="inlineStr">
        <is>
          <t>1,464.54</t>
        </is>
      </c>
      <c r="G79" t="inlineStr">
        <is>
          <t>30,000</t>
        </is>
      </c>
      <c r="H79" t="inlineStr">
        <is>
          <t>Kg</t>
        </is>
      </c>
      <c r="I79">
        <f>VALUE(SUBSTITUTE(F79,",",""))*1000</f>
        <v/>
      </c>
      <c r="J79">
        <f>VALUE(SUBSTITUTE(G79,",",""))</f>
        <v/>
      </c>
      <c r="K79">
        <f>E79="World"</f>
        <v/>
      </c>
      <c r="L79">
        <f>IF(J79=0,0,I79/J79)</f>
        <v/>
      </c>
      <c r="M79">
        <f>IF(K79,"",IF(E79="India","Re-import",IF(L79&lt;Lookups!$K$2,"Unit value below floor","")))</f>
        <v/>
      </c>
      <c r="N79">
        <f>IF(AND(NOT(K79),M79=""),1,0)</f>
        <v/>
      </c>
      <c r="O79">
        <f>SUMIFS($I$2:$I$190,$B$2:$B$190,B79,$C$2:$C$190,C79,$N$2:$N$190,1)/SUMIFS($J$2:$J$190,$B$2:$B$190,B79,$C$2:$C$190,C79,$N$2:$N$190,1)</f>
        <v/>
      </c>
      <c r="P79">
        <f>IF(K79,"",IF(M79="Unit value below floor",I79/O79,J79))</f>
        <v/>
      </c>
      <c r="Q79">
        <f>IF(K79,"",P79/1000*VLOOKUP(C79,Lookups!$G$2:$H$3,2,FALSE))</f>
        <v/>
      </c>
    </row>
    <row r="80">
      <c r="A80" t="inlineStr">
        <is>
          <t>India</t>
        </is>
      </c>
      <c r="B80" t="n">
        <v>2023</v>
      </c>
      <c r="C80" t="inlineStr">
        <is>
          <t>283691</t>
        </is>
      </c>
      <c r="D80" t="inlineStr">
        <is>
          <t>Lithium carbonates</t>
        </is>
      </c>
      <c r="E80" t="inlineStr">
        <is>
          <t>Belgium</t>
        </is>
      </c>
      <c r="F80" t="inlineStr">
        <is>
          <t>1,405.90</t>
        </is>
      </c>
      <c r="G80" t="inlineStr">
        <is>
          <t>33,300</t>
        </is>
      </c>
      <c r="H80" t="inlineStr">
        <is>
          <t>Kg</t>
        </is>
      </c>
      <c r="I80">
        <f>VALUE(SUBSTITUTE(F80,",",""))*1000</f>
        <v/>
      </c>
      <c r="J80">
        <f>VALUE(SUBSTITUTE(G80,",",""))</f>
        <v/>
      </c>
      <c r="K80">
        <f>E80="World"</f>
        <v/>
      </c>
      <c r="L80">
        <f>IF(J80=0,0,I80/J80)</f>
        <v/>
      </c>
      <c r="M80">
        <f>IF(K80,"",IF(E80="India","Re-import",IF(L80&lt;Lookups!$K$2,"Unit value below floor","")))</f>
        <v/>
      </c>
      <c r="N80">
        <f>IF(AND(NOT(K80),M80=""),1,0)</f>
        <v/>
      </c>
      <c r="O80">
        <f>SUMIFS($I$2:$I$190,$B$2:$B$190,B80,$C$2:$C$190,C80,$N$2:$N$190,1)/SUMIFS($J$2:$J$190,$B$2:$B$190,B80,$C$2:$C$190,C80,$N$2:$N$190,1)</f>
        <v/>
      </c>
      <c r="P80">
        <f>IF(K80,"",IF(M80="Unit value below floor",I80/O80,J80))</f>
        <v/>
      </c>
      <c r="Q80">
        <f>IF(K80,"",P80/1000*VLOOKUP(C80,Lookups!$G$2:$H$3,2,FALSE))</f>
        <v/>
      </c>
    </row>
    <row r="81">
      <c r="A81" t="inlineStr">
        <is>
          <t>India</t>
        </is>
      </c>
      <c r="B81" t="n">
        <v>2023</v>
      </c>
      <c r="C81" t="inlineStr">
        <is>
          <t>283691</t>
        </is>
      </c>
      <c r="D81" t="inlineStr">
        <is>
          <t>Lithium carbonates</t>
        </is>
      </c>
      <c r="E81" t="inlineStr">
        <is>
          <t>Slovenia</t>
        </is>
      </c>
      <c r="F81" t="inlineStr">
        <is>
          <t>1,095.63</t>
        </is>
      </c>
      <c r="G81" t="inlineStr">
        <is>
          <t>5,000</t>
        </is>
      </c>
      <c r="H81" t="inlineStr">
        <is>
          <t>Kg</t>
        </is>
      </c>
      <c r="I81">
        <f>VALUE(SUBSTITUTE(F81,",",""))*1000</f>
        <v/>
      </c>
      <c r="J81">
        <f>VALUE(SUBSTITUTE(G81,",",""))</f>
        <v/>
      </c>
      <c r="K81">
        <f>E81="World"</f>
        <v/>
      </c>
      <c r="L81">
        <f>IF(J81=0,0,I81/J81)</f>
        <v/>
      </c>
      <c r="M81">
        <f>IF(K81,"",IF(E81="India","Re-import",IF(L81&lt;Lookups!$K$2,"Unit value below floor","")))</f>
        <v/>
      </c>
      <c r="N81">
        <f>IF(AND(NOT(K81),M81=""),1,0)</f>
        <v/>
      </c>
      <c r="O81">
        <f>SUMIFS($I$2:$I$190,$B$2:$B$190,B81,$C$2:$C$190,C81,$N$2:$N$190,1)/SUMIFS($J$2:$J$190,$B$2:$B$190,B81,$C$2:$C$190,C81,$N$2:$N$190,1)</f>
        <v/>
      </c>
      <c r="P81">
        <f>IF(K81,"",IF(M81="Unit value below floor",I81/O81,J81))</f>
        <v/>
      </c>
      <c r="Q81">
        <f>IF(K81,"",P81/1000*VLOOKUP(C81,Lookups!$G$2:$H$3,2,FALSE))</f>
        <v/>
      </c>
    </row>
    <row r="82">
      <c r="A82" t="inlineStr">
        <is>
          <t>India</t>
        </is>
      </c>
      <c r="B82" t="n">
        <v>2023</v>
      </c>
      <c r="C82" t="inlineStr">
        <is>
          <t>283691</t>
        </is>
      </c>
      <c r="D82" t="inlineStr">
        <is>
          <t>Lithium carbonates</t>
        </is>
      </c>
      <c r="E82" t="inlineStr">
        <is>
          <t>Germany</t>
        </is>
      </c>
      <c r="F82" t="inlineStr">
        <is>
          <t>911.96</t>
        </is>
      </c>
      <c r="G82" t="inlineStr">
        <is>
          <t>18,008</t>
        </is>
      </c>
      <c r="H82" t="inlineStr">
        <is>
          <t>Kg</t>
        </is>
      </c>
      <c r="I82">
        <f>VALUE(SUBSTITUTE(F82,",",""))*1000</f>
        <v/>
      </c>
      <c r="J82">
        <f>VALUE(SUBSTITUTE(G82,",",""))</f>
        <v/>
      </c>
      <c r="K82">
        <f>E82="World"</f>
        <v/>
      </c>
      <c r="L82">
        <f>IF(J82=0,0,I82/J82)</f>
        <v/>
      </c>
      <c r="M82">
        <f>IF(K82,"",IF(E82="India","Re-import",IF(L82&lt;Lookups!$K$2,"Unit value below floor","")))</f>
        <v/>
      </c>
      <c r="N82">
        <f>IF(AND(NOT(K82),M82=""),1,0)</f>
        <v/>
      </c>
      <c r="O82">
        <f>SUMIFS($I$2:$I$190,$B$2:$B$190,B82,$C$2:$C$190,C82,$N$2:$N$190,1)/SUMIFS($J$2:$J$190,$B$2:$B$190,B82,$C$2:$C$190,C82,$N$2:$N$190,1)</f>
        <v/>
      </c>
      <c r="P82">
        <f>IF(K82,"",IF(M82="Unit value below floor",I82/O82,J82))</f>
        <v/>
      </c>
      <c r="Q82">
        <f>IF(K82,"",P82/1000*VLOOKUP(C82,Lookups!$G$2:$H$3,2,FALSE))</f>
        <v/>
      </c>
    </row>
    <row r="83">
      <c r="A83" t="inlineStr">
        <is>
          <t>India</t>
        </is>
      </c>
      <c r="B83" t="n">
        <v>2023</v>
      </c>
      <c r="C83" t="inlineStr">
        <is>
          <t>283691</t>
        </is>
      </c>
      <c r="D83" t="inlineStr">
        <is>
          <t>Lithium carbonates</t>
        </is>
      </c>
      <c r="E83" t="inlineStr">
        <is>
          <t>Ireland</t>
        </is>
      </c>
      <c r="F83" t="inlineStr">
        <is>
          <t>354.19</t>
        </is>
      </c>
      <c r="G83" t="inlineStr">
        <is>
          <t>600,000</t>
        </is>
      </c>
      <c r="H83" t="inlineStr">
        <is>
          <t>Kg</t>
        </is>
      </c>
      <c r="I83">
        <f>VALUE(SUBSTITUTE(F83,",",""))*1000</f>
        <v/>
      </c>
      <c r="J83">
        <f>VALUE(SUBSTITUTE(G83,",",""))</f>
        <v/>
      </c>
      <c r="K83">
        <f>E83="World"</f>
        <v/>
      </c>
      <c r="L83">
        <f>IF(J83=0,0,I83/J83)</f>
        <v/>
      </c>
      <c r="M83">
        <f>IF(K83,"",IF(E83="India","Re-import",IF(L83&lt;Lookups!$K$2,"Unit value below floor","")))</f>
        <v/>
      </c>
      <c r="N83">
        <f>IF(AND(NOT(K83),M83=""),1,0)</f>
        <v/>
      </c>
      <c r="O83">
        <f>SUMIFS($I$2:$I$190,$B$2:$B$190,B83,$C$2:$C$190,C83,$N$2:$N$190,1)/SUMIFS($J$2:$J$190,$B$2:$B$190,B83,$C$2:$C$190,C83,$N$2:$N$190,1)</f>
        <v/>
      </c>
      <c r="P83">
        <f>IF(K83,"",IF(M83="Unit value below floor",I83/O83,J83))</f>
        <v/>
      </c>
      <c r="Q83">
        <f>IF(K83,"",P83/1000*VLOOKUP(C83,Lookups!$G$2:$H$3,2,FALSE))</f>
        <v/>
      </c>
    </row>
    <row r="84">
      <c r="A84" t="inlineStr">
        <is>
          <t>India</t>
        </is>
      </c>
      <c r="B84" t="n">
        <v>2023</v>
      </c>
      <c r="C84" t="inlineStr">
        <is>
          <t>283691</t>
        </is>
      </c>
      <c r="D84" t="inlineStr">
        <is>
          <t>Lithium carbonates</t>
        </is>
      </c>
      <c r="E84" t="inlineStr">
        <is>
          <t>Japan</t>
        </is>
      </c>
      <c r="F84" t="inlineStr">
        <is>
          <t>157.26</t>
        </is>
      </c>
      <c r="G84" t="inlineStr">
        <is>
          <t>3,630</t>
        </is>
      </c>
      <c r="H84" t="inlineStr">
        <is>
          <t>Kg</t>
        </is>
      </c>
      <c r="I84">
        <f>VALUE(SUBSTITUTE(F84,",",""))*1000</f>
        <v/>
      </c>
      <c r="J84">
        <f>VALUE(SUBSTITUTE(G84,",",""))</f>
        <v/>
      </c>
      <c r="K84">
        <f>E84="World"</f>
        <v/>
      </c>
      <c r="L84">
        <f>IF(J84=0,0,I84/J84)</f>
        <v/>
      </c>
      <c r="M84">
        <f>IF(K84,"",IF(E84="India","Re-import",IF(L84&lt;Lookups!$K$2,"Unit value below floor","")))</f>
        <v/>
      </c>
      <c r="N84">
        <f>IF(AND(NOT(K84),M84=""),1,0)</f>
        <v/>
      </c>
      <c r="O84">
        <f>SUMIFS($I$2:$I$190,$B$2:$B$190,B84,$C$2:$C$190,C84,$N$2:$N$190,1)/SUMIFS($J$2:$J$190,$B$2:$B$190,B84,$C$2:$C$190,C84,$N$2:$N$190,1)</f>
        <v/>
      </c>
      <c r="P84">
        <f>IF(K84,"",IF(M84="Unit value below floor",I84/O84,J84))</f>
        <v/>
      </c>
      <c r="Q84">
        <f>IF(K84,"",P84/1000*VLOOKUP(C84,Lookups!$G$2:$H$3,2,FALSE))</f>
        <v/>
      </c>
    </row>
    <row r="85">
      <c r="A85" t="inlineStr">
        <is>
          <t>India</t>
        </is>
      </c>
      <c r="B85" t="n">
        <v>2023</v>
      </c>
      <c r="C85" t="inlineStr">
        <is>
          <t>283691</t>
        </is>
      </c>
      <c r="D85" t="inlineStr">
        <is>
          <t>Lithium carbonates</t>
        </is>
      </c>
      <c r="E85" t="inlineStr">
        <is>
          <t>Switzerland</t>
        </is>
      </c>
      <c r="F85" t="inlineStr">
        <is>
          <t>6.66</t>
        </is>
      </c>
      <c r="G85" t="inlineStr">
        <is>
          <t>360</t>
        </is>
      </c>
      <c r="H85" t="inlineStr">
        <is>
          <t>Kg</t>
        </is>
      </c>
      <c r="I85">
        <f>VALUE(SUBSTITUTE(F85,",",""))*1000</f>
        <v/>
      </c>
      <c r="J85">
        <f>VALUE(SUBSTITUTE(G85,",",""))</f>
        <v/>
      </c>
      <c r="K85">
        <f>E85="World"</f>
        <v/>
      </c>
      <c r="L85">
        <f>IF(J85=0,0,I85/J85)</f>
        <v/>
      </c>
      <c r="M85">
        <f>IF(K85,"",IF(E85="India","Re-import",IF(L85&lt;Lookups!$K$2,"Unit value below floor","")))</f>
        <v/>
      </c>
      <c r="N85">
        <f>IF(AND(NOT(K85),M85=""),1,0)</f>
        <v/>
      </c>
      <c r="O85">
        <f>SUMIFS($I$2:$I$190,$B$2:$B$190,B85,$C$2:$C$190,C85,$N$2:$N$190,1)/SUMIFS($J$2:$J$190,$B$2:$B$190,B85,$C$2:$C$190,C85,$N$2:$N$190,1)</f>
        <v/>
      </c>
      <c r="P85">
        <f>IF(K85,"",IF(M85="Unit value below floor",I85/O85,J85))</f>
        <v/>
      </c>
      <c r="Q85">
        <f>IF(K85,"",P85/1000*VLOOKUP(C85,Lookups!$G$2:$H$3,2,FALSE))</f>
        <v/>
      </c>
    </row>
    <row r="86">
      <c r="A86" t="inlineStr">
        <is>
          <t>India</t>
        </is>
      </c>
      <c r="B86" t="n">
        <v>2023</v>
      </c>
      <c r="C86" t="inlineStr">
        <is>
          <t>283691</t>
        </is>
      </c>
      <c r="D86" t="inlineStr">
        <is>
          <t>Lithium carbonates</t>
        </is>
      </c>
      <c r="E86" t="inlineStr">
        <is>
          <t>Austria</t>
        </is>
      </c>
      <c r="F86" t="inlineStr">
        <is>
          <t>0.45</t>
        </is>
      </c>
      <c r="G86" t="inlineStr">
        <is>
          <t>17</t>
        </is>
      </c>
      <c r="H86" t="inlineStr">
        <is>
          <t>Kg</t>
        </is>
      </c>
      <c r="I86">
        <f>VALUE(SUBSTITUTE(F86,",",""))*1000</f>
        <v/>
      </c>
      <c r="J86">
        <f>VALUE(SUBSTITUTE(G86,",",""))</f>
        <v/>
      </c>
      <c r="K86">
        <f>E86="World"</f>
        <v/>
      </c>
      <c r="L86">
        <f>IF(J86=0,0,I86/J86)</f>
        <v/>
      </c>
      <c r="M86">
        <f>IF(K86,"",IF(E86="India","Re-import",IF(L86&lt;Lookups!$K$2,"Unit value below floor","")))</f>
        <v/>
      </c>
      <c r="N86">
        <f>IF(AND(NOT(K86),M86=""),1,0)</f>
        <v/>
      </c>
      <c r="O86">
        <f>SUMIFS($I$2:$I$190,$B$2:$B$190,B86,$C$2:$C$190,C86,$N$2:$N$190,1)/SUMIFS($J$2:$J$190,$B$2:$B$190,B86,$C$2:$C$190,C86,$N$2:$N$190,1)</f>
        <v/>
      </c>
      <c r="P86">
        <f>IF(K86,"",IF(M86="Unit value below floor",I86/O86,J86))</f>
        <v/>
      </c>
      <c r="Q86">
        <f>IF(K86,"",P86/1000*VLOOKUP(C86,Lookups!$G$2:$H$3,2,FALSE))</f>
        <v/>
      </c>
    </row>
    <row r="87">
      <c r="A87" t="inlineStr">
        <is>
          <t>India</t>
        </is>
      </c>
      <c r="B87" t="n">
        <v>2023</v>
      </c>
      <c r="C87" t="inlineStr">
        <is>
          <t>283691</t>
        </is>
      </c>
      <c r="D87" t="inlineStr">
        <is>
          <t>Lithium carbonates</t>
        </is>
      </c>
      <c r="E87" t="inlineStr">
        <is>
          <t>Singapore</t>
        </is>
      </c>
      <c r="F87" t="inlineStr">
        <is>
          <t>0.06</t>
        </is>
      </c>
      <c r="G87" t="inlineStr">
        <is>
          <t>1</t>
        </is>
      </c>
      <c r="H87" t="inlineStr">
        <is>
          <t>Kg</t>
        </is>
      </c>
      <c r="I87">
        <f>VALUE(SUBSTITUTE(F87,",",""))*1000</f>
        <v/>
      </c>
      <c r="J87">
        <f>VALUE(SUBSTITUTE(G87,",",""))</f>
        <v/>
      </c>
      <c r="K87">
        <f>E87="World"</f>
        <v/>
      </c>
      <c r="L87">
        <f>IF(J87=0,0,I87/J87)</f>
        <v/>
      </c>
      <c r="M87">
        <f>IF(K87,"",IF(E87="India","Re-import",IF(L87&lt;Lookups!$K$2,"Unit value below floor","")))</f>
        <v/>
      </c>
      <c r="N87">
        <f>IF(AND(NOT(K87),M87=""),1,0)</f>
        <v/>
      </c>
      <c r="O87">
        <f>SUMIFS($I$2:$I$190,$B$2:$B$190,B87,$C$2:$C$190,C87,$N$2:$N$190,1)/SUMIFS($J$2:$J$190,$B$2:$B$190,B87,$C$2:$C$190,C87,$N$2:$N$190,1)</f>
        <v/>
      </c>
      <c r="P87">
        <f>IF(K87,"",IF(M87="Unit value below floor",I87/O87,J87))</f>
        <v/>
      </c>
      <c r="Q87">
        <f>IF(K87,"",P87/1000*VLOOKUP(C87,Lookups!$G$2:$H$3,2,FALSE))</f>
        <v/>
      </c>
    </row>
    <row r="88">
      <c r="A88" t="inlineStr">
        <is>
          <t>India</t>
        </is>
      </c>
      <c r="B88" t="n">
        <v>2024</v>
      </c>
      <c r="C88" t="inlineStr">
        <is>
          <t>283691</t>
        </is>
      </c>
      <c r="D88" t="inlineStr">
        <is>
          <t>Lithium carbonates</t>
        </is>
      </c>
      <c r="E88" t="inlineStr">
        <is>
          <t>World</t>
        </is>
      </c>
      <c r="F88" t="inlineStr">
        <is>
          <t>10,977.02</t>
        </is>
      </c>
      <c r="G88" t="inlineStr">
        <is>
          <t>891,184</t>
        </is>
      </c>
      <c r="H88" t="inlineStr">
        <is>
          <t>Kg</t>
        </is>
      </c>
      <c r="I88">
        <f>VALUE(SUBSTITUTE(F88,",",""))*1000</f>
        <v/>
      </c>
      <c r="J88">
        <f>VALUE(SUBSTITUTE(G88,",",""))</f>
        <v/>
      </c>
      <c r="K88">
        <f>E88="World"</f>
        <v/>
      </c>
      <c r="L88">
        <f>IF(J88=0,0,I88/J88)</f>
        <v/>
      </c>
      <c r="M88">
        <f>IF(K88,"",IF(E88="India","Re-import",IF(L88&lt;Lookups!$K$2,"Unit value below floor","")))</f>
        <v/>
      </c>
      <c r="N88">
        <f>IF(AND(NOT(K88),M88=""),1,0)</f>
        <v/>
      </c>
      <c r="O88">
        <f>SUMIFS($I$2:$I$190,$B$2:$B$190,B88,$C$2:$C$190,C88,$N$2:$N$190,1)/SUMIFS($J$2:$J$190,$B$2:$B$190,B88,$C$2:$C$190,C88,$N$2:$N$190,1)</f>
        <v/>
      </c>
      <c r="P88">
        <f>IF(K88,"",IF(M88="Unit value below floor",I88/O88,J88))</f>
        <v/>
      </c>
      <c r="Q88">
        <f>IF(K88,"",P88/1000*VLOOKUP(C88,Lookups!$G$2:$H$3,2,FALSE))</f>
        <v/>
      </c>
    </row>
    <row r="89">
      <c r="A89" t="inlineStr">
        <is>
          <t>India</t>
        </is>
      </c>
      <c r="B89" t="n">
        <v>2024</v>
      </c>
      <c r="C89" t="inlineStr">
        <is>
          <t>283691</t>
        </is>
      </c>
      <c r="D89" t="inlineStr">
        <is>
          <t>Lithium carbonates</t>
        </is>
      </c>
      <c r="E89" t="inlineStr">
        <is>
          <t>United States</t>
        </is>
      </c>
      <c r="F89" t="inlineStr">
        <is>
          <t>4,461.34</t>
        </is>
      </c>
      <c r="G89" t="inlineStr">
        <is>
          <t>47,255</t>
        </is>
      </c>
      <c r="H89" t="inlineStr">
        <is>
          <t>Kg</t>
        </is>
      </c>
      <c r="I89">
        <f>VALUE(SUBSTITUTE(F89,",",""))*1000</f>
        <v/>
      </c>
      <c r="J89">
        <f>VALUE(SUBSTITUTE(G89,",",""))</f>
        <v/>
      </c>
      <c r="K89">
        <f>E89="World"</f>
        <v/>
      </c>
      <c r="L89">
        <f>IF(J89=0,0,I89/J89)</f>
        <v/>
      </c>
      <c r="M89">
        <f>IF(K89,"",IF(E89="India","Re-import",IF(L89&lt;Lookups!$K$2,"Unit value below floor","")))</f>
        <v/>
      </c>
      <c r="N89">
        <f>IF(AND(NOT(K89),M89=""),1,0)</f>
        <v/>
      </c>
      <c r="O89">
        <f>SUMIFS($I$2:$I$190,$B$2:$B$190,B89,$C$2:$C$190,C89,$N$2:$N$190,1)/SUMIFS($J$2:$J$190,$B$2:$B$190,B89,$C$2:$C$190,C89,$N$2:$N$190,1)</f>
        <v/>
      </c>
      <c r="P89">
        <f>IF(K89,"",IF(M89="Unit value below floor",I89/O89,J89))</f>
        <v/>
      </c>
      <c r="Q89">
        <f>IF(K89,"",P89/1000*VLOOKUP(C89,Lookups!$G$2:$H$3,2,FALSE))</f>
        <v/>
      </c>
    </row>
    <row r="90">
      <c r="A90" t="inlineStr">
        <is>
          <t>India</t>
        </is>
      </c>
      <c r="B90" t="n">
        <v>2024</v>
      </c>
      <c r="C90" t="inlineStr">
        <is>
          <t>283691</t>
        </is>
      </c>
      <c r="D90" t="inlineStr">
        <is>
          <t>Lithium carbonates</t>
        </is>
      </c>
      <c r="E90" t="inlineStr">
        <is>
          <t>Chile</t>
        </is>
      </c>
      <c r="F90" t="inlineStr">
        <is>
          <t>3,464.15</t>
        </is>
      </c>
      <c r="G90" t="inlineStr">
        <is>
          <t>271,600</t>
        </is>
      </c>
      <c r="H90" t="inlineStr">
        <is>
          <t>Kg</t>
        </is>
      </c>
      <c r="I90">
        <f>VALUE(SUBSTITUTE(F90,",",""))*1000</f>
        <v/>
      </c>
      <c r="J90">
        <f>VALUE(SUBSTITUTE(G90,",",""))</f>
        <v/>
      </c>
      <c r="K90">
        <f>E90="World"</f>
        <v/>
      </c>
      <c r="L90">
        <f>IF(J90=0,0,I90/J90)</f>
        <v/>
      </c>
      <c r="M90">
        <f>IF(K90,"",IF(E90="India","Re-import",IF(L90&lt;Lookups!$K$2,"Unit value below floor","")))</f>
        <v/>
      </c>
      <c r="N90">
        <f>IF(AND(NOT(K90),M90=""),1,0)</f>
        <v/>
      </c>
      <c r="O90">
        <f>SUMIFS($I$2:$I$190,$B$2:$B$190,B90,$C$2:$C$190,C90,$N$2:$N$190,1)/SUMIFS($J$2:$J$190,$B$2:$B$190,B90,$C$2:$C$190,C90,$N$2:$N$190,1)</f>
        <v/>
      </c>
      <c r="P90">
        <f>IF(K90,"",IF(M90="Unit value below floor",I90/O90,J90))</f>
        <v/>
      </c>
      <c r="Q90">
        <f>IF(K90,"",P90/1000*VLOOKUP(C90,Lookups!$G$2:$H$3,2,FALSE))</f>
        <v/>
      </c>
    </row>
    <row r="91">
      <c r="A91" t="inlineStr">
        <is>
          <t>India</t>
        </is>
      </c>
      <c r="B91" t="n">
        <v>2024</v>
      </c>
      <c r="C91" t="inlineStr">
        <is>
          <t>283691</t>
        </is>
      </c>
      <c r="D91" t="inlineStr">
        <is>
          <t>Lithium carbonates</t>
        </is>
      </c>
      <c r="E91" t="inlineStr">
        <is>
          <t>China</t>
        </is>
      </c>
      <c r="F91" t="inlineStr">
        <is>
          <t>2,477.77</t>
        </is>
      </c>
      <c r="G91" t="inlineStr">
        <is>
          <t>154,557</t>
        </is>
      </c>
      <c r="H91" t="inlineStr">
        <is>
          <t>Kg</t>
        </is>
      </c>
      <c r="I91">
        <f>VALUE(SUBSTITUTE(F91,",",""))*1000</f>
        <v/>
      </c>
      <c r="J91">
        <f>VALUE(SUBSTITUTE(G91,",",""))</f>
        <v/>
      </c>
      <c r="K91">
        <f>E91="World"</f>
        <v/>
      </c>
      <c r="L91">
        <f>IF(J91=0,0,I91/J91)</f>
        <v/>
      </c>
      <c r="M91">
        <f>IF(K91,"",IF(E91="India","Re-import",IF(L91&lt;Lookups!$K$2,"Unit value below floor","")))</f>
        <v/>
      </c>
      <c r="N91">
        <f>IF(AND(NOT(K91),M91=""),1,0)</f>
        <v/>
      </c>
      <c r="O91">
        <f>SUMIFS($I$2:$I$190,$B$2:$B$190,B91,$C$2:$C$190,C91,$N$2:$N$190,1)/SUMIFS($J$2:$J$190,$B$2:$B$190,B91,$C$2:$C$190,C91,$N$2:$N$190,1)</f>
        <v/>
      </c>
      <c r="P91">
        <f>IF(K91,"",IF(M91="Unit value below floor",I91/O91,J91))</f>
        <v/>
      </c>
      <c r="Q91">
        <f>IF(K91,"",P91/1000*VLOOKUP(C91,Lookups!$G$2:$H$3,2,FALSE))</f>
        <v/>
      </c>
    </row>
    <row r="92">
      <c r="A92" t="inlineStr">
        <is>
          <t>India</t>
        </is>
      </c>
      <c r="B92" t="n">
        <v>2024</v>
      </c>
      <c r="C92" t="inlineStr">
        <is>
          <t>283691</t>
        </is>
      </c>
      <c r="D92" t="inlineStr">
        <is>
          <t>Lithium carbonates</t>
        </is>
      </c>
      <c r="E92" t="inlineStr">
        <is>
          <t>Ireland</t>
        </is>
      </c>
      <c r="F92" t="inlineStr">
        <is>
          <t>225.20</t>
        </is>
      </c>
      <c r="G92" t="inlineStr">
        <is>
          <t>400,000</t>
        </is>
      </c>
      <c r="H92" t="inlineStr">
        <is>
          <t>Kg</t>
        </is>
      </c>
      <c r="I92">
        <f>VALUE(SUBSTITUTE(F92,",",""))*1000</f>
        <v/>
      </c>
      <c r="J92">
        <f>VALUE(SUBSTITUTE(G92,",",""))</f>
        <v/>
      </c>
      <c r="K92">
        <f>E92="World"</f>
        <v/>
      </c>
      <c r="L92">
        <f>IF(J92=0,0,I92/J92)</f>
        <v/>
      </c>
      <c r="M92">
        <f>IF(K92,"",IF(E92="India","Re-import",IF(L92&lt;Lookups!$K$2,"Unit value below floor","")))</f>
        <v/>
      </c>
      <c r="N92">
        <f>IF(AND(NOT(K92),M92=""),1,0)</f>
        <v/>
      </c>
      <c r="O92">
        <f>SUMIFS($I$2:$I$190,$B$2:$B$190,B92,$C$2:$C$190,C92,$N$2:$N$190,1)/SUMIFS($J$2:$J$190,$B$2:$B$190,B92,$C$2:$C$190,C92,$N$2:$N$190,1)</f>
        <v/>
      </c>
      <c r="P92">
        <f>IF(K92,"",IF(M92="Unit value below floor",I92/O92,J92))</f>
        <v/>
      </c>
      <c r="Q92">
        <f>IF(K92,"",P92/1000*VLOOKUP(C92,Lookups!$G$2:$H$3,2,FALSE))</f>
        <v/>
      </c>
    </row>
    <row r="93">
      <c r="A93" t="inlineStr">
        <is>
          <t>India</t>
        </is>
      </c>
      <c r="B93" t="n">
        <v>2024</v>
      </c>
      <c r="C93" t="inlineStr">
        <is>
          <t>283691</t>
        </is>
      </c>
      <c r="D93" t="inlineStr">
        <is>
          <t>Lithium carbonates</t>
        </is>
      </c>
      <c r="E93" t="inlineStr">
        <is>
          <t>Germany</t>
        </is>
      </c>
      <c r="F93" t="inlineStr">
        <is>
          <t>211.31</t>
        </is>
      </c>
      <c r="G93" t="inlineStr">
        <is>
          <t>15,102</t>
        </is>
      </c>
      <c r="H93" t="inlineStr">
        <is>
          <t>Kg</t>
        </is>
      </c>
      <c r="I93">
        <f>VALUE(SUBSTITUTE(F93,",",""))*1000</f>
        <v/>
      </c>
      <c r="J93">
        <f>VALUE(SUBSTITUTE(G93,",",""))</f>
        <v/>
      </c>
      <c r="K93">
        <f>E93="World"</f>
        <v/>
      </c>
      <c r="L93">
        <f>IF(J93=0,0,I93/J93)</f>
        <v/>
      </c>
      <c r="M93">
        <f>IF(K93,"",IF(E93="India","Re-import",IF(L93&lt;Lookups!$K$2,"Unit value below floor","")))</f>
        <v/>
      </c>
      <c r="N93">
        <f>IF(AND(NOT(K93),M93=""),1,0)</f>
        <v/>
      </c>
      <c r="O93">
        <f>SUMIFS($I$2:$I$190,$B$2:$B$190,B93,$C$2:$C$190,C93,$N$2:$N$190,1)/SUMIFS($J$2:$J$190,$B$2:$B$190,B93,$C$2:$C$190,C93,$N$2:$N$190,1)</f>
        <v/>
      </c>
      <c r="P93">
        <f>IF(K93,"",IF(M93="Unit value below floor",I93/O93,J93))</f>
        <v/>
      </c>
      <c r="Q93">
        <f>IF(K93,"",P93/1000*VLOOKUP(C93,Lookups!$G$2:$H$3,2,FALSE))</f>
        <v/>
      </c>
    </row>
    <row r="94">
      <c r="A94" t="inlineStr">
        <is>
          <t>India</t>
        </is>
      </c>
      <c r="B94" t="n">
        <v>2024</v>
      </c>
      <c r="C94" t="inlineStr">
        <is>
          <t>283691</t>
        </is>
      </c>
      <c r="D94" t="inlineStr">
        <is>
          <t>Lithium carbonates</t>
        </is>
      </c>
      <c r="E94" t="inlineStr">
        <is>
          <t>Brazil</t>
        </is>
      </c>
      <c r="F94" t="inlineStr">
        <is>
          <t>59.45</t>
        </is>
      </c>
      <c r="G94" t="inlineStr">
        <is>
          <t>1,100</t>
        </is>
      </c>
      <c r="H94" t="inlineStr">
        <is>
          <t>Kg</t>
        </is>
      </c>
      <c r="I94">
        <f>VALUE(SUBSTITUTE(F94,",",""))*1000</f>
        <v/>
      </c>
      <c r="J94">
        <f>VALUE(SUBSTITUTE(G94,",",""))</f>
        <v/>
      </c>
      <c r="K94">
        <f>E94="World"</f>
        <v/>
      </c>
      <c r="L94">
        <f>IF(J94=0,0,I94/J94)</f>
        <v/>
      </c>
      <c r="M94">
        <f>IF(K94,"",IF(E94="India","Re-import",IF(L94&lt;Lookups!$K$2,"Unit value below floor","")))</f>
        <v/>
      </c>
      <c r="N94">
        <f>IF(AND(NOT(K94),M94=""),1,0)</f>
        <v/>
      </c>
      <c r="O94">
        <f>SUMIFS($I$2:$I$190,$B$2:$B$190,B94,$C$2:$C$190,C94,$N$2:$N$190,1)/SUMIFS($J$2:$J$190,$B$2:$B$190,B94,$C$2:$C$190,C94,$N$2:$N$190,1)</f>
        <v/>
      </c>
      <c r="P94">
        <f>IF(K94,"",IF(M94="Unit value below floor",I94/O94,J94))</f>
        <v/>
      </c>
      <c r="Q94">
        <f>IF(K94,"",P94/1000*VLOOKUP(C94,Lookups!$G$2:$H$3,2,FALSE))</f>
        <v/>
      </c>
    </row>
    <row r="95">
      <c r="A95" t="inlineStr">
        <is>
          <t>India</t>
        </is>
      </c>
      <c r="B95" t="n">
        <v>2024</v>
      </c>
      <c r="C95" t="inlineStr">
        <is>
          <t>283691</t>
        </is>
      </c>
      <c r="D95" t="inlineStr">
        <is>
          <t>Lithium carbonates</t>
        </is>
      </c>
      <c r="E95" t="inlineStr">
        <is>
          <t>Japan</t>
        </is>
      </c>
      <c r="F95" t="inlineStr">
        <is>
          <t>55.96</t>
        </is>
      </c>
      <c r="G95" t="inlineStr">
        <is>
          <t>1,058</t>
        </is>
      </c>
      <c r="H95" t="inlineStr">
        <is>
          <t>Kg</t>
        </is>
      </c>
      <c r="I95">
        <f>VALUE(SUBSTITUTE(F95,",",""))*1000</f>
        <v/>
      </c>
      <c r="J95">
        <f>VALUE(SUBSTITUTE(G95,",",""))</f>
        <v/>
      </c>
      <c r="K95">
        <f>E95="World"</f>
        <v/>
      </c>
      <c r="L95">
        <f>IF(J95=0,0,I95/J95)</f>
        <v/>
      </c>
      <c r="M95">
        <f>IF(K95,"",IF(E95="India","Re-import",IF(L95&lt;Lookups!$K$2,"Unit value below floor","")))</f>
        <v/>
      </c>
      <c r="N95">
        <f>IF(AND(NOT(K95),M95=""),1,0)</f>
        <v/>
      </c>
      <c r="O95">
        <f>SUMIFS($I$2:$I$190,$B$2:$B$190,B95,$C$2:$C$190,C95,$N$2:$N$190,1)/SUMIFS($J$2:$J$190,$B$2:$B$190,B95,$C$2:$C$190,C95,$N$2:$N$190,1)</f>
        <v/>
      </c>
      <c r="P95">
        <f>IF(K95,"",IF(M95="Unit value below floor",I95/O95,J95))</f>
        <v/>
      </c>
      <c r="Q95">
        <f>IF(K95,"",P95/1000*VLOOKUP(C95,Lookups!$G$2:$H$3,2,FALSE))</f>
        <v/>
      </c>
    </row>
    <row r="96">
      <c r="A96" t="inlineStr">
        <is>
          <t>India</t>
        </is>
      </c>
      <c r="B96" t="n">
        <v>2024</v>
      </c>
      <c r="C96" t="inlineStr">
        <is>
          <t>283691</t>
        </is>
      </c>
      <c r="D96" t="inlineStr">
        <is>
          <t>Lithium carbonates</t>
        </is>
      </c>
      <c r="E96" t="inlineStr">
        <is>
          <t>India</t>
        </is>
      </c>
      <c r="F96" t="inlineStr">
        <is>
          <t>18.74</t>
        </is>
      </c>
      <c r="G96" t="inlineStr">
        <is>
          <t>200</t>
        </is>
      </c>
      <c r="H96" t="inlineStr">
        <is>
          <t>Kg</t>
        </is>
      </c>
      <c r="I96">
        <f>VALUE(SUBSTITUTE(F96,",",""))*1000</f>
        <v/>
      </c>
      <c r="J96">
        <f>VALUE(SUBSTITUTE(G96,",",""))</f>
        <v/>
      </c>
      <c r="K96">
        <f>E96="World"</f>
        <v/>
      </c>
      <c r="L96">
        <f>IF(J96=0,0,I96/J96)</f>
        <v/>
      </c>
      <c r="M96">
        <f>IF(K96,"",IF(E96="India","Re-import",IF(L96&lt;Lookups!$K$2,"Unit value below floor","")))</f>
        <v/>
      </c>
      <c r="N96">
        <f>IF(AND(NOT(K96),M96=""),1,0)</f>
        <v/>
      </c>
      <c r="O96">
        <f>SUMIFS($I$2:$I$190,$B$2:$B$190,B96,$C$2:$C$190,C96,$N$2:$N$190,1)/SUMIFS($J$2:$J$190,$B$2:$B$190,B96,$C$2:$C$190,C96,$N$2:$N$190,1)</f>
        <v/>
      </c>
      <c r="P96">
        <f>IF(K96,"",IF(M96="Unit value below floor",I96/O96,J96))</f>
        <v/>
      </c>
      <c r="Q96">
        <f>IF(K96,"",P96/1000*VLOOKUP(C96,Lookups!$G$2:$H$3,2,FALSE))</f>
        <v/>
      </c>
    </row>
    <row r="97">
      <c r="A97" t="inlineStr">
        <is>
          <t>India</t>
        </is>
      </c>
      <c r="B97" t="n">
        <v>2024</v>
      </c>
      <c r="C97" t="inlineStr">
        <is>
          <t>283691</t>
        </is>
      </c>
      <c r="D97" t="inlineStr">
        <is>
          <t>Lithium carbonates</t>
        </is>
      </c>
      <c r="E97" t="inlineStr">
        <is>
          <t>United Arab Emirates</t>
        </is>
      </c>
      <c r="F97" t="inlineStr">
        <is>
          <t>2.94</t>
        </is>
      </c>
      <c r="G97" t="inlineStr">
        <is>
          <t>41</t>
        </is>
      </c>
      <c r="H97" t="inlineStr">
        <is>
          <t>Kg</t>
        </is>
      </c>
      <c r="I97">
        <f>VALUE(SUBSTITUTE(F97,",",""))*1000</f>
        <v/>
      </c>
      <c r="J97">
        <f>VALUE(SUBSTITUTE(G97,",",""))</f>
        <v/>
      </c>
      <c r="K97">
        <f>E97="World"</f>
        <v/>
      </c>
      <c r="L97">
        <f>IF(J97=0,0,I97/J97)</f>
        <v/>
      </c>
      <c r="M97">
        <f>IF(K97,"",IF(E97="India","Re-import",IF(L97&lt;Lookups!$K$2,"Unit value below floor","")))</f>
        <v/>
      </c>
      <c r="N97">
        <f>IF(AND(NOT(K97),M97=""),1,0)</f>
        <v/>
      </c>
      <c r="O97">
        <f>SUMIFS($I$2:$I$190,$B$2:$B$190,B97,$C$2:$C$190,C97,$N$2:$N$190,1)/SUMIFS($J$2:$J$190,$B$2:$B$190,B97,$C$2:$C$190,C97,$N$2:$N$190,1)</f>
        <v/>
      </c>
      <c r="P97">
        <f>IF(K97,"",IF(M97="Unit value below floor",I97/O97,J97))</f>
        <v/>
      </c>
      <c r="Q97">
        <f>IF(K97,"",P97/1000*VLOOKUP(C97,Lookups!$G$2:$H$3,2,FALSE))</f>
        <v/>
      </c>
    </row>
    <row r="98">
      <c r="A98" t="inlineStr">
        <is>
          <t>India</t>
        </is>
      </c>
      <c r="B98" t="n">
        <v>2024</v>
      </c>
      <c r="C98" t="inlineStr">
        <is>
          <t>283691</t>
        </is>
      </c>
      <c r="D98" t="inlineStr">
        <is>
          <t>Lithium carbonates</t>
        </is>
      </c>
      <c r="E98" t="inlineStr">
        <is>
          <t>Singapore</t>
        </is>
      </c>
      <c r="F98" t="inlineStr">
        <is>
          <t>0.09</t>
        </is>
      </c>
      <c r="G98" t="inlineStr">
        <is>
          <t>126</t>
        </is>
      </c>
      <c r="H98" t="inlineStr">
        <is>
          <t>Kg</t>
        </is>
      </c>
      <c r="I98">
        <f>VALUE(SUBSTITUTE(F98,",",""))*1000</f>
        <v/>
      </c>
      <c r="J98">
        <f>VALUE(SUBSTITUTE(G98,",",""))</f>
        <v/>
      </c>
      <c r="K98">
        <f>E98="World"</f>
        <v/>
      </c>
      <c r="L98">
        <f>IF(J98=0,0,I98/J98)</f>
        <v/>
      </c>
      <c r="M98">
        <f>IF(K98,"",IF(E98="India","Re-import",IF(L98&lt;Lookups!$K$2,"Unit value below floor","")))</f>
        <v/>
      </c>
      <c r="N98">
        <f>IF(AND(NOT(K98),M98=""),1,0)</f>
        <v/>
      </c>
      <c r="O98">
        <f>SUMIFS($I$2:$I$190,$B$2:$B$190,B98,$C$2:$C$190,C98,$N$2:$N$190,1)/SUMIFS($J$2:$J$190,$B$2:$B$190,B98,$C$2:$C$190,C98,$N$2:$N$190,1)</f>
        <v/>
      </c>
      <c r="P98">
        <f>IF(K98,"",IF(M98="Unit value below floor",I98/O98,J98))</f>
        <v/>
      </c>
      <c r="Q98">
        <f>IF(K98,"",P98/1000*VLOOKUP(C98,Lookups!$G$2:$H$3,2,FALSE))</f>
        <v/>
      </c>
    </row>
    <row r="99">
      <c r="A99" t="inlineStr">
        <is>
          <t>India</t>
        </is>
      </c>
      <c r="B99" t="n">
        <v>2024</v>
      </c>
      <c r="C99" t="inlineStr">
        <is>
          <t>283691</t>
        </is>
      </c>
      <c r="D99" t="inlineStr">
        <is>
          <t>Lithium carbonates</t>
        </is>
      </c>
      <c r="E99" t="inlineStr">
        <is>
          <t>Zimbabwe</t>
        </is>
      </c>
      <c r="F99" t="inlineStr">
        <is>
          <t>0.07</t>
        </is>
      </c>
      <c r="G99" t="inlineStr">
        <is>
          <t>145</t>
        </is>
      </c>
      <c r="H99" t="inlineStr">
        <is>
          <t>Kg</t>
        </is>
      </c>
      <c r="I99">
        <f>VALUE(SUBSTITUTE(F99,",",""))*1000</f>
        <v/>
      </c>
      <c r="J99">
        <f>VALUE(SUBSTITUTE(G99,",",""))</f>
        <v/>
      </c>
      <c r="K99">
        <f>E99="World"</f>
        <v/>
      </c>
      <c r="L99">
        <f>IF(J99=0,0,I99/J99)</f>
        <v/>
      </c>
      <c r="M99">
        <f>IF(K99,"",IF(E99="India","Re-import",IF(L99&lt;Lookups!$K$2,"Unit value below floor","")))</f>
        <v/>
      </c>
      <c r="N99">
        <f>IF(AND(NOT(K99),M99=""),1,0)</f>
        <v/>
      </c>
      <c r="O99">
        <f>SUMIFS($I$2:$I$190,$B$2:$B$190,B99,$C$2:$C$190,C99,$N$2:$N$190,1)/SUMIFS($J$2:$J$190,$B$2:$B$190,B99,$C$2:$C$190,C99,$N$2:$N$190,1)</f>
        <v/>
      </c>
      <c r="P99">
        <f>IF(K99,"",IF(M99="Unit value below floor",I99/O99,J99))</f>
        <v/>
      </c>
      <c r="Q99">
        <f>IF(K99,"",P99/1000*VLOOKUP(C99,Lookups!$G$2:$H$3,2,FALSE))</f>
        <v/>
      </c>
    </row>
    <row r="100">
      <c r="A100" t="inlineStr">
        <is>
          <t>India</t>
        </is>
      </c>
      <c r="B100" t="n">
        <v>2018</v>
      </c>
      <c r="C100" t="inlineStr">
        <is>
          <t>282520</t>
        </is>
      </c>
      <c r="D100" t="inlineStr">
        <is>
          <t>Lithium oxide and hydroxide</t>
        </is>
      </c>
      <c r="E100" t="inlineStr">
        <is>
          <t>World</t>
        </is>
      </c>
      <c r="F100" t="inlineStr">
        <is>
          <t>34,747.88</t>
        </is>
      </c>
      <c r="G100" t="inlineStr">
        <is>
          <t>1,984,260</t>
        </is>
      </c>
      <c r="H100" t="inlineStr">
        <is>
          <t>Kg</t>
        </is>
      </c>
      <c r="I100">
        <f>VALUE(SUBSTITUTE(F100,",",""))*1000</f>
        <v/>
      </c>
      <c r="J100">
        <f>VALUE(SUBSTITUTE(G100,",",""))</f>
        <v/>
      </c>
      <c r="K100">
        <f>E100="World"</f>
        <v/>
      </c>
      <c r="L100">
        <f>IF(J100=0,0,I100/J100)</f>
        <v/>
      </c>
      <c r="M100">
        <f>IF(K100,"",IF(E100="India","Re-import",IF(L100&lt;Lookups!$K$2,"Unit value below floor","")))</f>
        <v/>
      </c>
      <c r="N100">
        <f>IF(AND(NOT(K100),M100=""),1,0)</f>
        <v/>
      </c>
      <c r="O100">
        <f>SUMIFS($I$2:$I$190,$B$2:$B$190,B100,$C$2:$C$190,C100,$N$2:$N$190,1)/SUMIFS($J$2:$J$190,$B$2:$B$190,B100,$C$2:$C$190,C100,$N$2:$N$190,1)</f>
        <v/>
      </c>
      <c r="P100">
        <f>IF(K100,"",IF(M100="Unit value below floor",I100/O100,J100))</f>
        <v/>
      </c>
      <c r="Q100">
        <f>IF(K100,"",P100/1000*VLOOKUP(C100,Lookups!$G$2:$H$3,2,FALSE))</f>
        <v/>
      </c>
    </row>
    <row r="101">
      <c r="A101" t="inlineStr">
        <is>
          <t>India</t>
        </is>
      </c>
      <c r="B101" t="n">
        <v>2018</v>
      </c>
      <c r="C101" t="inlineStr">
        <is>
          <t>282520</t>
        </is>
      </c>
      <c r="D101" t="inlineStr">
        <is>
          <t>Lithium oxide and hydroxide</t>
        </is>
      </c>
      <c r="E101" t="inlineStr">
        <is>
          <t>China</t>
        </is>
      </c>
      <c r="F101" t="inlineStr">
        <is>
          <t>14,106.03</t>
        </is>
      </c>
      <c r="G101" t="inlineStr">
        <is>
          <t>771,907</t>
        </is>
      </c>
      <c r="H101" t="inlineStr">
        <is>
          <t>Kg</t>
        </is>
      </c>
      <c r="I101">
        <f>VALUE(SUBSTITUTE(F101,",",""))*1000</f>
        <v/>
      </c>
      <c r="J101">
        <f>VALUE(SUBSTITUTE(G101,",",""))</f>
        <v/>
      </c>
      <c r="K101">
        <f>E101="World"</f>
        <v/>
      </c>
      <c r="L101">
        <f>IF(J101=0,0,I101/J101)</f>
        <v/>
      </c>
      <c r="M101">
        <f>IF(K101,"",IF(E101="India","Re-import",IF(L101&lt;Lookups!$K$2,"Unit value below floor","")))</f>
        <v/>
      </c>
      <c r="N101">
        <f>IF(AND(NOT(K101),M101=""),1,0)</f>
        <v/>
      </c>
      <c r="O101">
        <f>SUMIFS($I$2:$I$190,$B$2:$B$190,B101,$C$2:$C$190,C101,$N$2:$N$190,1)/SUMIFS($J$2:$J$190,$B$2:$B$190,B101,$C$2:$C$190,C101,$N$2:$N$190,1)</f>
        <v/>
      </c>
      <c r="P101">
        <f>IF(K101,"",IF(M101="Unit value below floor",I101/O101,J101))</f>
        <v/>
      </c>
      <c r="Q101">
        <f>IF(K101,"",P101/1000*VLOOKUP(C101,Lookups!$G$2:$H$3,2,FALSE))</f>
        <v/>
      </c>
    </row>
    <row r="102">
      <c r="A102" t="inlineStr">
        <is>
          <t>India</t>
        </is>
      </c>
      <c r="B102" t="n">
        <v>2018</v>
      </c>
      <c r="C102" t="inlineStr">
        <is>
          <t>282520</t>
        </is>
      </c>
      <c r="D102" t="inlineStr">
        <is>
          <t>Lithium oxide and hydroxide</t>
        </is>
      </c>
      <c r="E102" t="inlineStr">
        <is>
          <t>Russian Federation</t>
        </is>
      </c>
      <c r="F102" t="inlineStr">
        <is>
          <t>11,601.70</t>
        </is>
      </c>
      <c r="G102" t="inlineStr">
        <is>
          <t>718,431</t>
        </is>
      </c>
      <c r="H102" t="inlineStr">
        <is>
          <t>Kg</t>
        </is>
      </c>
      <c r="I102">
        <f>VALUE(SUBSTITUTE(F102,",",""))*1000</f>
        <v/>
      </c>
      <c r="J102">
        <f>VALUE(SUBSTITUTE(G102,",",""))</f>
        <v/>
      </c>
      <c r="K102">
        <f>E102="World"</f>
        <v/>
      </c>
      <c r="L102">
        <f>IF(J102=0,0,I102/J102)</f>
        <v/>
      </c>
      <c r="M102">
        <f>IF(K102,"",IF(E102="India","Re-import",IF(L102&lt;Lookups!$K$2,"Unit value below floor","")))</f>
        <v/>
      </c>
      <c r="N102">
        <f>IF(AND(NOT(K102),M102=""),1,0)</f>
        <v/>
      </c>
      <c r="O102">
        <f>SUMIFS($I$2:$I$190,$B$2:$B$190,B102,$C$2:$C$190,C102,$N$2:$N$190,1)/SUMIFS($J$2:$J$190,$B$2:$B$190,B102,$C$2:$C$190,C102,$N$2:$N$190,1)</f>
        <v/>
      </c>
      <c r="P102">
        <f>IF(K102,"",IF(M102="Unit value below floor",I102/O102,J102))</f>
        <v/>
      </c>
      <c r="Q102">
        <f>IF(K102,"",P102/1000*VLOOKUP(C102,Lookups!$G$2:$H$3,2,FALSE))</f>
        <v/>
      </c>
    </row>
    <row r="103">
      <c r="A103" t="inlineStr">
        <is>
          <t>India</t>
        </is>
      </c>
      <c r="B103" t="n">
        <v>2018</v>
      </c>
      <c r="C103" t="inlineStr">
        <is>
          <t>282520</t>
        </is>
      </c>
      <c r="D103" t="inlineStr">
        <is>
          <t>Lithium oxide and hydroxide</t>
        </is>
      </c>
      <c r="E103" t="inlineStr">
        <is>
          <t>Belgium</t>
        </is>
      </c>
      <c r="F103" t="inlineStr">
        <is>
          <t>6,333.14</t>
        </is>
      </c>
      <c r="G103" t="inlineStr">
        <is>
          <t>345,002</t>
        </is>
      </c>
      <c r="H103" t="inlineStr">
        <is>
          <t>Kg</t>
        </is>
      </c>
      <c r="I103">
        <f>VALUE(SUBSTITUTE(F103,",",""))*1000</f>
        <v/>
      </c>
      <c r="J103">
        <f>VALUE(SUBSTITUTE(G103,",",""))</f>
        <v/>
      </c>
      <c r="K103">
        <f>E103="World"</f>
        <v/>
      </c>
      <c r="L103">
        <f>IF(J103=0,0,I103/J103)</f>
        <v/>
      </c>
      <c r="M103">
        <f>IF(K103,"",IF(E103="India","Re-import",IF(L103&lt;Lookups!$K$2,"Unit value below floor","")))</f>
        <v/>
      </c>
      <c r="N103">
        <f>IF(AND(NOT(K103),M103=""),1,0)</f>
        <v/>
      </c>
      <c r="O103">
        <f>SUMIFS($I$2:$I$190,$B$2:$B$190,B103,$C$2:$C$190,C103,$N$2:$N$190,1)/SUMIFS($J$2:$J$190,$B$2:$B$190,B103,$C$2:$C$190,C103,$N$2:$N$190,1)</f>
        <v/>
      </c>
      <c r="P103">
        <f>IF(K103,"",IF(M103="Unit value below floor",I103/O103,J103))</f>
        <v/>
      </c>
      <c r="Q103">
        <f>IF(K103,"",P103/1000*VLOOKUP(C103,Lookups!$G$2:$H$3,2,FALSE))</f>
        <v/>
      </c>
    </row>
    <row r="104">
      <c r="A104" t="inlineStr">
        <is>
          <t>India</t>
        </is>
      </c>
      <c r="B104" t="n">
        <v>2018</v>
      </c>
      <c r="C104" t="inlineStr">
        <is>
          <t>282520</t>
        </is>
      </c>
      <c r="D104" t="inlineStr">
        <is>
          <t>Lithium oxide and hydroxide</t>
        </is>
      </c>
      <c r="E104" t="inlineStr">
        <is>
          <t>Netherlands</t>
        </is>
      </c>
      <c r="F104" t="inlineStr">
        <is>
          <t>1,047.80</t>
        </is>
      </c>
      <c r="G104" t="inlineStr">
        <is>
          <t>65,100</t>
        </is>
      </c>
      <c r="H104" t="inlineStr">
        <is>
          <t>Kg</t>
        </is>
      </c>
      <c r="I104">
        <f>VALUE(SUBSTITUTE(F104,",",""))*1000</f>
        <v/>
      </c>
      <c r="J104">
        <f>VALUE(SUBSTITUTE(G104,",",""))</f>
        <v/>
      </c>
      <c r="K104">
        <f>E104="World"</f>
        <v/>
      </c>
      <c r="L104">
        <f>IF(J104=0,0,I104/J104)</f>
        <v/>
      </c>
      <c r="M104">
        <f>IF(K104,"",IF(E104="India","Re-import",IF(L104&lt;Lookups!$K$2,"Unit value below floor","")))</f>
        <v/>
      </c>
      <c r="N104">
        <f>IF(AND(NOT(K104),M104=""),1,0)</f>
        <v/>
      </c>
      <c r="O104">
        <f>SUMIFS($I$2:$I$190,$B$2:$B$190,B104,$C$2:$C$190,C104,$N$2:$N$190,1)/SUMIFS($J$2:$J$190,$B$2:$B$190,B104,$C$2:$C$190,C104,$N$2:$N$190,1)</f>
        <v/>
      </c>
      <c r="P104">
        <f>IF(K104,"",IF(M104="Unit value below floor",I104/O104,J104))</f>
        <v/>
      </c>
      <c r="Q104">
        <f>IF(K104,"",P104/1000*VLOOKUP(C104,Lookups!$G$2:$H$3,2,FALSE))</f>
        <v/>
      </c>
    </row>
    <row r="105">
      <c r="A105" t="inlineStr">
        <is>
          <t>India</t>
        </is>
      </c>
      <c r="B105" t="n">
        <v>2018</v>
      </c>
      <c r="C105" t="inlineStr">
        <is>
          <t>282520</t>
        </is>
      </c>
      <c r="D105" t="inlineStr">
        <is>
          <t>Lithium oxide and hydroxide</t>
        </is>
      </c>
      <c r="E105" t="inlineStr">
        <is>
          <t>Germany</t>
        </is>
      </c>
      <c r="F105" t="inlineStr">
        <is>
          <t>703.25</t>
        </is>
      </c>
      <c r="G105" t="inlineStr">
        <is>
          <t>22,554</t>
        </is>
      </c>
      <c r="H105" t="inlineStr">
        <is>
          <t>Kg</t>
        </is>
      </c>
      <c r="I105">
        <f>VALUE(SUBSTITUTE(F105,",",""))*1000</f>
        <v/>
      </c>
      <c r="J105">
        <f>VALUE(SUBSTITUTE(G105,",",""))</f>
        <v/>
      </c>
      <c r="K105">
        <f>E105="World"</f>
        <v/>
      </c>
      <c r="L105">
        <f>IF(J105=0,0,I105/J105)</f>
        <v/>
      </c>
      <c r="M105">
        <f>IF(K105,"",IF(E105="India","Re-import",IF(L105&lt;Lookups!$K$2,"Unit value below floor","")))</f>
        <v/>
      </c>
      <c r="N105">
        <f>IF(AND(NOT(K105),M105=""),1,0)</f>
        <v/>
      </c>
      <c r="O105">
        <f>SUMIFS($I$2:$I$190,$B$2:$B$190,B105,$C$2:$C$190,C105,$N$2:$N$190,1)/SUMIFS($J$2:$J$190,$B$2:$B$190,B105,$C$2:$C$190,C105,$N$2:$N$190,1)</f>
        <v/>
      </c>
      <c r="P105">
        <f>IF(K105,"",IF(M105="Unit value below floor",I105/O105,J105))</f>
        <v/>
      </c>
      <c r="Q105">
        <f>IF(K105,"",P105/1000*VLOOKUP(C105,Lookups!$G$2:$H$3,2,FALSE))</f>
        <v/>
      </c>
    </row>
    <row r="106">
      <c r="A106" t="inlineStr">
        <is>
          <t>India</t>
        </is>
      </c>
      <c r="B106" t="n">
        <v>2018</v>
      </c>
      <c r="C106" t="inlineStr">
        <is>
          <t>282520</t>
        </is>
      </c>
      <c r="D106" t="inlineStr">
        <is>
          <t>Lithium oxide and hydroxide</t>
        </is>
      </c>
      <c r="E106" t="inlineStr">
        <is>
          <t>Japan</t>
        </is>
      </c>
      <c r="F106" t="inlineStr">
        <is>
          <t>351.49</t>
        </is>
      </c>
      <c r="G106" t="inlineStr">
        <is>
          <t>20,012</t>
        </is>
      </c>
      <c r="H106" t="inlineStr">
        <is>
          <t>Kg</t>
        </is>
      </c>
      <c r="I106">
        <f>VALUE(SUBSTITUTE(F106,",",""))*1000</f>
        <v/>
      </c>
      <c r="J106">
        <f>VALUE(SUBSTITUTE(G106,",",""))</f>
        <v/>
      </c>
      <c r="K106">
        <f>E106="World"</f>
        <v/>
      </c>
      <c r="L106">
        <f>IF(J106=0,0,I106/J106)</f>
        <v/>
      </c>
      <c r="M106">
        <f>IF(K106,"",IF(E106="India","Re-import",IF(L106&lt;Lookups!$K$2,"Unit value below floor","")))</f>
        <v/>
      </c>
      <c r="N106">
        <f>IF(AND(NOT(K106),M106=""),1,0)</f>
        <v/>
      </c>
      <c r="O106">
        <f>SUMIFS($I$2:$I$190,$B$2:$B$190,B106,$C$2:$C$190,C106,$N$2:$N$190,1)/SUMIFS($J$2:$J$190,$B$2:$B$190,B106,$C$2:$C$190,C106,$N$2:$N$190,1)</f>
        <v/>
      </c>
      <c r="P106">
        <f>IF(K106,"",IF(M106="Unit value below floor",I106/O106,J106))</f>
        <v/>
      </c>
      <c r="Q106">
        <f>IF(K106,"",P106/1000*VLOOKUP(C106,Lookups!$G$2:$H$3,2,FALSE))</f>
        <v/>
      </c>
    </row>
    <row r="107">
      <c r="A107" t="inlineStr">
        <is>
          <t>India</t>
        </is>
      </c>
      <c r="B107" t="n">
        <v>2018</v>
      </c>
      <c r="C107" t="inlineStr">
        <is>
          <t>282520</t>
        </is>
      </c>
      <c r="D107" t="inlineStr">
        <is>
          <t>Lithium oxide and hydroxide</t>
        </is>
      </c>
      <c r="E107" t="inlineStr">
        <is>
          <t>Switzerland</t>
        </is>
      </c>
      <c r="F107" t="inlineStr">
        <is>
          <t>340.30</t>
        </is>
      </c>
      <c r="G107" t="inlineStr">
        <is>
          <t>20,000</t>
        </is>
      </c>
      <c r="H107" t="inlineStr">
        <is>
          <t>Kg</t>
        </is>
      </c>
      <c r="I107">
        <f>VALUE(SUBSTITUTE(F107,",",""))*1000</f>
        <v/>
      </c>
      <c r="J107">
        <f>VALUE(SUBSTITUTE(G107,",",""))</f>
        <v/>
      </c>
      <c r="K107">
        <f>E107="World"</f>
        <v/>
      </c>
      <c r="L107">
        <f>IF(J107=0,0,I107/J107)</f>
        <v/>
      </c>
      <c r="M107">
        <f>IF(K107,"",IF(E107="India","Re-import",IF(L107&lt;Lookups!$K$2,"Unit value below floor","")))</f>
        <v/>
      </c>
      <c r="N107">
        <f>IF(AND(NOT(K107),M107=""),1,0)</f>
        <v/>
      </c>
      <c r="O107">
        <f>SUMIFS($I$2:$I$190,$B$2:$B$190,B107,$C$2:$C$190,C107,$N$2:$N$190,1)/SUMIFS($J$2:$J$190,$B$2:$B$190,B107,$C$2:$C$190,C107,$N$2:$N$190,1)</f>
        <v/>
      </c>
      <c r="P107">
        <f>IF(K107,"",IF(M107="Unit value below floor",I107/O107,J107))</f>
        <v/>
      </c>
      <c r="Q107">
        <f>IF(K107,"",P107/1000*VLOOKUP(C107,Lookups!$G$2:$H$3,2,FALSE))</f>
        <v/>
      </c>
    </row>
    <row r="108">
      <c r="A108" t="inlineStr">
        <is>
          <t>India</t>
        </is>
      </c>
      <c r="B108" t="n">
        <v>2018</v>
      </c>
      <c r="C108" t="inlineStr">
        <is>
          <t>282520</t>
        </is>
      </c>
      <c r="D108" t="inlineStr">
        <is>
          <t>Lithium oxide and hydroxide</t>
        </is>
      </c>
      <c r="E108" t="inlineStr">
        <is>
          <t>United States</t>
        </is>
      </c>
      <c r="F108" t="inlineStr">
        <is>
          <t>243.21</t>
        </is>
      </c>
      <c r="G108" t="inlineStr">
        <is>
          <t>20,023</t>
        </is>
      </c>
      <c r="H108" t="inlineStr">
        <is>
          <t>Kg</t>
        </is>
      </c>
      <c r="I108">
        <f>VALUE(SUBSTITUTE(F108,",",""))*1000</f>
        <v/>
      </c>
      <c r="J108">
        <f>VALUE(SUBSTITUTE(G108,",",""))</f>
        <v/>
      </c>
      <c r="K108">
        <f>E108="World"</f>
        <v/>
      </c>
      <c r="L108">
        <f>IF(J108=0,0,I108/J108)</f>
        <v/>
      </c>
      <c r="M108">
        <f>IF(K108,"",IF(E108="India","Re-import",IF(L108&lt;Lookups!$K$2,"Unit value below floor","")))</f>
        <v/>
      </c>
      <c r="N108">
        <f>IF(AND(NOT(K108),M108=""),1,0)</f>
        <v/>
      </c>
      <c r="O108">
        <f>SUMIFS($I$2:$I$190,$B$2:$B$190,B108,$C$2:$C$190,C108,$N$2:$N$190,1)/SUMIFS($J$2:$J$190,$B$2:$B$190,B108,$C$2:$C$190,C108,$N$2:$N$190,1)</f>
        <v/>
      </c>
      <c r="P108">
        <f>IF(K108,"",IF(M108="Unit value below floor",I108/O108,J108))</f>
        <v/>
      </c>
      <c r="Q108">
        <f>IF(K108,"",P108/1000*VLOOKUP(C108,Lookups!$G$2:$H$3,2,FALSE))</f>
        <v/>
      </c>
    </row>
    <row r="109">
      <c r="A109" t="inlineStr">
        <is>
          <t>India</t>
        </is>
      </c>
      <c r="B109" t="n">
        <v>2018</v>
      </c>
      <c r="C109" t="inlineStr">
        <is>
          <t>282520</t>
        </is>
      </c>
      <c r="D109" t="inlineStr">
        <is>
          <t>Lithium oxide and hydroxide</t>
        </is>
      </c>
      <c r="E109" t="inlineStr">
        <is>
          <t>United Kingdom</t>
        </is>
      </c>
      <c r="F109" t="inlineStr">
        <is>
          <t>6.83</t>
        </is>
      </c>
      <c r="G109" t="inlineStr">
        <is>
          <t>740</t>
        </is>
      </c>
      <c r="H109" t="inlineStr">
        <is>
          <t>Kg</t>
        </is>
      </c>
      <c r="I109">
        <f>VALUE(SUBSTITUTE(F109,",",""))*1000</f>
        <v/>
      </c>
      <c r="J109">
        <f>VALUE(SUBSTITUTE(G109,",",""))</f>
        <v/>
      </c>
      <c r="K109">
        <f>E109="World"</f>
        <v/>
      </c>
      <c r="L109">
        <f>IF(J109=0,0,I109/J109)</f>
        <v/>
      </c>
      <c r="M109">
        <f>IF(K109,"",IF(E109="India","Re-import",IF(L109&lt;Lookups!$K$2,"Unit value below floor","")))</f>
        <v/>
      </c>
      <c r="N109">
        <f>IF(AND(NOT(K109),M109=""),1,0)</f>
        <v/>
      </c>
      <c r="O109">
        <f>SUMIFS($I$2:$I$190,$B$2:$B$190,B109,$C$2:$C$190,C109,$N$2:$N$190,1)/SUMIFS($J$2:$J$190,$B$2:$B$190,B109,$C$2:$C$190,C109,$N$2:$N$190,1)</f>
        <v/>
      </c>
      <c r="P109">
        <f>IF(K109,"",IF(M109="Unit value below floor",I109/O109,J109))</f>
        <v/>
      </c>
      <c r="Q109">
        <f>IF(K109,"",P109/1000*VLOOKUP(C109,Lookups!$G$2:$H$3,2,FALSE))</f>
        <v/>
      </c>
    </row>
    <row r="110">
      <c r="A110" t="inlineStr">
        <is>
          <t>India</t>
        </is>
      </c>
      <c r="B110" t="n">
        <v>2018</v>
      </c>
      <c r="C110" t="inlineStr">
        <is>
          <t>282520</t>
        </is>
      </c>
      <c r="D110" t="inlineStr">
        <is>
          <t>Lithium oxide and hydroxide</t>
        </is>
      </c>
      <c r="E110" t="inlineStr">
        <is>
          <t>Singapore</t>
        </is>
      </c>
      <c r="F110" t="inlineStr">
        <is>
          <t>6.28</t>
        </is>
      </c>
      <c r="G110" t="inlineStr">
        <is>
          <t>14</t>
        </is>
      </c>
      <c r="H110" t="inlineStr">
        <is>
          <t>Kg</t>
        </is>
      </c>
      <c r="I110">
        <f>VALUE(SUBSTITUTE(F110,",",""))*1000</f>
        <v/>
      </c>
      <c r="J110">
        <f>VALUE(SUBSTITUTE(G110,",",""))</f>
        <v/>
      </c>
      <c r="K110">
        <f>E110="World"</f>
        <v/>
      </c>
      <c r="L110">
        <f>IF(J110=0,0,I110/J110)</f>
        <v/>
      </c>
      <c r="M110">
        <f>IF(K110,"",IF(E110="India","Re-import",IF(L110&lt;Lookups!$K$2,"Unit value below floor","")))</f>
        <v/>
      </c>
      <c r="N110">
        <f>IF(AND(NOT(K110),M110=""),1,0)</f>
        <v/>
      </c>
      <c r="O110">
        <f>SUMIFS($I$2:$I$190,$B$2:$B$190,B110,$C$2:$C$190,C110,$N$2:$N$190,1)/SUMIFS($J$2:$J$190,$B$2:$B$190,B110,$C$2:$C$190,C110,$N$2:$N$190,1)</f>
        <v/>
      </c>
      <c r="P110">
        <f>IF(K110,"",IF(M110="Unit value below floor",I110/O110,J110))</f>
        <v/>
      </c>
      <c r="Q110">
        <f>IF(K110,"",P110/1000*VLOOKUP(C110,Lookups!$G$2:$H$3,2,FALSE))</f>
        <v/>
      </c>
    </row>
    <row r="111">
      <c r="A111" t="inlineStr">
        <is>
          <t>India</t>
        </is>
      </c>
      <c r="B111" t="n">
        <v>2018</v>
      </c>
      <c r="C111" t="inlineStr">
        <is>
          <t>282520</t>
        </is>
      </c>
      <c r="D111" t="inlineStr">
        <is>
          <t>Lithium oxide and hydroxide</t>
        </is>
      </c>
      <c r="E111" t="inlineStr">
        <is>
          <t>Hong Kong, China</t>
        </is>
      </c>
      <c r="F111" t="inlineStr">
        <is>
          <t>3.49</t>
        </is>
      </c>
      <c r="G111" t="inlineStr">
        <is>
          <t>35</t>
        </is>
      </c>
      <c r="H111" t="inlineStr">
        <is>
          <t>Kg</t>
        </is>
      </c>
      <c r="I111">
        <f>VALUE(SUBSTITUTE(F111,",",""))*1000</f>
        <v/>
      </c>
      <c r="J111">
        <f>VALUE(SUBSTITUTE(G111,",",""))</f>
        <v/>
      </c>
      <c r="K111">
        <f>E111="World"</f>
        <v/>
      </c>
      <c r="L111">
        <f>IF(J111=0,0,I111/J111)</f>
        <v/>
      </c>
      <c r="M111">
        <f>IF(K111,"",IF(E111="India","Re-import",IF(L111&lt;Lookups!$K$2,"Unit value below floor","")))</f>
        <v/>
      </c>
      <c r="N111">
        <f>IF(AND(NOT(K111),M111=""),1,0)</f>
        <v/>
      </c>
      <c r="O111">
        <f>SUMIFS($I$2:$I$190,$B$2:$B$190,B111,$C$2:$C$190,C111,$N$2:$N$190,1)/SUMIFS($J$2:$J$190,$B$2:$B$190,B111,$C$2:$C$190,C111,$N$2:$N$190,1)</f>
        <v/>
      </c>
      <c r="P111">
        <f>IF(K111,"",IF(M111="Unit value below floor",I111/O111,J111))</f>
        <v/>
      </c>
      <c r="Q111">
        <f>IF(K111,"",P111/1000*VLOOKUP(C111,Lookups!$G$2:$H$3,2,FALSE))</f>
        <v/>
      </c>
    </row>
    <row r="112">
      <c r="A112" t="inlineStr">
        <is>
          <t>India</t>
        </is>
      </c>
      <c r="B112" t="n">
        <v>2018</v>
      </c>
      <c r="C112" t="inlineStr">
        <is>
          <t>282520</t>
        </is>
      </c>
      <c r="D112" t="inlineStr">
        <is>
          <t>Lithium oxide and hydroxide</t>
        </is>
      </c>
      <c r="E112" t="inlineStr">
        <is>
          <t>Ireland</t>
        </is>
      </c>
      <c r="F112" t="inlineStr">
        <is>
          <t>3.08</t>
        </is>
      </c>
      <c r="G112" t="inlineStr">
        <is>
          <t>20</t>
        </is>
      </c>
      <c r="H112" t="inlineStr">
        <is>
          <t>Kg</t>
        </is>
      </c>
      <c r="I112">
        <f>VALUE(SUBSTITUTE(F112,",",""))*1000</f>
        <v/>
      </c>
      <c r="J112">
        <f>VALUE(SUBSTITUTE(G112,",",""))</f>
        <v/>
      </c>
      <c r="K112">
        <f>E112="World"</f>
        <v/>
      </c>
      <c r="L112">
        <f>IF(J112=0,0,I112/J112)</f>
        <v/>
      </c>
      <c r="M112">
        <f>IF(K112,"",IF(E112="India","Re-import",IF(L112&lt;Lookups!$K$2,"Unit value below floor","")))</f>
        <v/>
      </c>
      <c r="N112">
        <f>IF(AND(NOT(K112),M112=""),1,0)</f>
        <v/>
      </c>
      <c r="O112">
        <f>SUMIFS($I$2:$I$190,$B$2:$B$190,B112,$C$2:$C$190,C112,$N$2:$N$190,1)/SUMIFS($J$2:$J$190,$B$2:$B$190,B112,$C$2:$C$190,C112,$N$2:$N$190,1)</f>
        <v/>
      </c>
      <c r="P112">
        <f>IF(K112,"",IF(M112="Unit value below floor",I112/O112,J112))</f>
        <v/>
      </c>
      <c r="Q112">
        <f>IF(K112,"",P112/1000*VLOOKUP(C112,Lookups!$G$2:$H$3,2,FALSE))</f>
        <v/>
      </c>
    </row>
    <row r="113">
      <c r="A113" t="inlineStr">
        <is>
          <t>India</t>
        </is>
      </c>
      <c r="B113" t="n">
        <v>2018</v>
      </c>
      <c r="C113" t="inlineStr">
        <is>
          <t>282520</t>
        </is>
      </c>
      <c r="D113" t="inlineStr">
        <is>
          <t>Lithium oxide and hydroxide</t>
        </is>
      </c>
      <c r="E113" t="inlineStr">
        <is>
          <t>Other Asia, nes</t>
        </is>
      </c>
      <c r="F113" t="inlineStr">
        <is>
          <t>1.26</t>
        </is>
      </c>
      <c r="G113" t="inlineStr">
        <is>
          <t>425</t>
        </is>
      </c>
      <c r="H113" t="inlineStr">
        <is>
          <t>Kg</t>
        </is>
      </c>
      <c r="I113">
        <f>VALUE(SUBSTITUTE(F113,",",""))*1000</f>
        <v/>
      </c>
      <c r="J113">
        <f>VALUE(SUBSTITUTE(G113,",",""))</f>
        <v/>
      </c>
      <c r="K113">
        <f>E113="World"</f>
        <v/>
      </c>
      <c r="L113">
        <f>IF(J113=0,0,I113/J113)</f>
        <v/>
      </c>
      <c r="M113">
        <f>IF(K113,"",IF(E113="India","Re-import",IF(L113&lt;Lookups!$K$2,"Unit value below floor","")))</f>
        <v/>
      </c>
      <c r="N113">
        <f>IF(AND(NOT(K113),M113=""),1,0)</f>
        <v/>
      </c>
      <c r="O113">
        <f>SUMIFS($I$2:$I$190,$B$2:$B$190,B113,$C$2:$C$190,C113,$N$2:$N$190,1)/SUMIFS($J$2:$J$190,$B$2:$B$190,B113,$C$2:$C$190,C113,$N$2:$N$190,1)</f>
        <v/>
      </c>
      <c r="P113">
        <f>IF(K113,"",IF(M113="Unit value below floor",I113/O113,J113))</f>
        <v/>
      </c>
      <c r="Q113">
        <f>IF(K113,"",P113/1000*VLOOKUP(C113,Lookups!$G$2:$H$3,2,FALSE))</f>
        <v/>
      </c>
    </row>
    <row r="114">
      <c r="A114" t="inlineStr">
        <is>
          <t>India</t>
        </is>
      </c>
      <c r="B114" t="n">
        <v>2018</v>
      </c>
      <c r="C114" t="inlineStr">
        <is>
          <t>282520</t>
        </is>
      </c>
      <c r="D114" t="inlineStr">
        <is>
          <t>Lithium oxide and hydroxide</t>
        </is>
      </c>
      <c r="E114" t="inlineStr">
        <is>
          <t>Canada</t>
        </is>
      </c>
      <c r="F114" t="inlineStr">
        <is>
          <t>0.03</t>
        </is>
      </c>
      <c r="G114" t="inlineStr">
        <is>
          <t>2</t>
        </is>
      </c>
      <c r="H114" t="inlineStr">
        <is>
          <t>Kg</t>
        </is>
      </c>
      <c r="I114">
        <f>VALUE(SUBSTITUTE(F114,",",""))*1000</f>
        <v/>
      </c>
      <c r="J114">
        <f>VALUE(SUBSTITUTE(G114,",",""))</f>
        <v/>
      </c>
      <c r="K114">
        <f>E114="World"</f>
        <v/>
      </c>
      <c r="L114">
        <f>IF(J114=0,0,I114/J114)</f>
        <v/>
      </c>
      <c r="M114">
        <f>IF(K114,"",IF(E114="India","Re-import",IF(L114&lt;Lookups!$K$2,"Unit value below floor","")))</f>
        <v/>
      </c>
      <c r="N114">
        <f>IF(AND(NOT(K114),M114=""),1,0)</f>
        <v/>
      </c>
      <c r="O114">
        <f>SUMIFS($I$2:$I$190,$B$2:$B$190,B114,$C$2:$C$190,C114,$N$2:$N$190,1)/SUMIFS($J$2:$J$190,$B$2:$B$190,B114,$C$2:$C$190,C114,$N$2:$N$190,1)</f>
        <v/>
      </c>
      <c r="P114">
        <f>IF(K114,"",IF(M114="Unit value below floor",I114/O114,J114))</f>
        <v/>
      </c>
      <c r="Q114">
        <f>IF(K114,"",P114/1000*VLOOKUP(C114,Lookups!$G$2:$H$3,2,FALSE))</f>
        <v/>
      </c>
    </row>
    <row r="115">
      <c r="A115" t="inlineStr">
        <is>
          <t>India</t>
        </is>
      </c>
      <c r="B115" t="n">
        <v>2019</v>
      </c>
      <c r="C115" t="inlineStr">
        <is>
          <t>282520</t>
        </is>
      </c>
      <c r="D115" t="inlineStr">
        <is>
          <t>Lithium oxide and hydroxide</t>
        </is>
      </c>
      <c r="E115" t="inlineStr">
        <is>
          <t>World</t>
        </is>
      </c>
      <c r="F115" t="inlineStr">
        <is>
          <t>23,152.07</t>
        </is>
      </c>
      <c r="G115" t="inlineStr">
        <is>
          <t>1,928,310</t>
        </is>
      </c>
      <c r="H115" t="inlineStr">
        <is>
          <t>Kg</t>
        </is>
      </c>
      <c r="I115">
        <f>VALUE(SUBSTITUTE(F115,",",""))*1000</f>
        <v/>
      </c>
      <c r="J115">
        <f>VALUE(SUBSTITUTE(G115,",",""))</f>
        <v/>
      </c>
      <c r="K115">
        <f>E115="World"</f>
        <v/>
      </c>
      <c r="L115">
        <f>IF(J115=0,0,I115/J115)</f>
        <v/>
      </c>
      <c r="M115">
        <f>IF(K115,"",IF(E115="India","Re-import",IF(L115&lt;Lookups!$K$2,"Unit value below floor","")))</f>
        <v/>
      </c>
      <c r="N115">
        <f>IF(AND(NOT(K115),M115=""),1,0)</f>
        <v/>
      </c>
      <c r="O115">
        <f>SUMIFS($I$2:$I$190,$B$2:$B$190,B115,$C$2:$C$190,C115,$N$2:$N$190,1)/SUMIFS($J$2:$J$190,$B$2:$B$190,B115,$C$2:$C$190,C115,$N$2:$N$190,1)</f>
        <v/>
      </c>
      <c r="P115">
        <f>IF(K115,"",IF(M115="Unit value below floor",I115/O115,J115))</f>
        <v/>
      </c>
      <c r="Q115">
        <f>IF(K115,"",P115/1000*VLOOKUP(C115,Lookups!$G$2:$H$3,2,FALSE))</f>
        <v/>
      </c>
    </row>
    <row r="116">
      <c r="A116" t="inlineStr">
        <is>
          <t>India</t>
        </is>
      </c>
      <c r="B116" t="n">
        <v>2019</v>
      </c>
      <c r="C116" t="inlineStr">
        <is>
          <t>282520</t>
        </is>
      </c>
      <c r="D116" t="inlineStr">
        <is>
          <t>Lithium oxide and hydroxide</t>
        </is>
      </c>
      <c r="E116" t="inlineStr">
        <is>
          <t>Belgium</t>
        </is>
      </c>
      <c r="F116" t="inlineStr">
        <is>
          <t>9,483.99</t>
        </is>
      </c>
      <c r="G116" t="inlineStr">
        <is>
          <t>708,003</t>
        </is>
      </c>
      <c r="H116" t="inlineStr">
        <is>
          <t>Kg</t>
        </is>
      </c>
      <c r="I116">
        <f>VALUE(SUBSTITUTE(F116,",",""))*1000</f>
        <v/>
      </c>
      <c r="J116">
        <f>VALUE(SUBSTITUTE(G116,",",""))</f>
        <v/>
      </c>
      <c r="K116">
        <f>E116="World"</f>
        <v/>
      </c>
      <c r="L116">
        <f>IF(J116=0,0,I116/J116)</f>
        <v/>
      </c>
      <c r="M116">
        <f>IF(K116,"",IF(E116="India","Re-import",IF(L116&lt;Lookups!$K$2,"Unit value below floor","")))</f>
        <v/>
      </c>
      <c r="N116">
        <f>IF(AND(NOT(K116),M116=""),1,0)</f>
        <v/>
      </c>
      <c r="O116">
        <f>SUMIFS($I$2:$I$190,$B$2:$B$190,B116,$C$2:$C$190,C116,$N$2:$N$190,1)/SUMIFS($J$2:$J$190,$B$2:$B$190,B116,$C$2:$C$190,C116,$N$2:$N$190,1)</f>
        <v/>
      </c>
      <c r="P116">
        <f>IF(K116,"",IF(M116="Unit value below floor",I116/O116,J116))</f>
        <v/>
      </c>
      <c r="Q116">
        <f>IF(K116,"",P116/1000*VLOOKUP(C116,Lookups!$G$2:$H$3,2,FALSE))</f>
        <v/>
      </c>
    </row>
    <row r="117">
      <c r="A117" t="inlineStr">
        <is>
          <t>India</t>
        </is>
      </c>
      <c r="B117" t="n">
        <v>2019</v>
      </c>
      <c r="C117" t="inlineStr">
        <is>
          <t>282520</t>
        </is>
      </c>
      <c r="D117" t="inlineStr">
        <is>
          <t>Lithium oxide and hydroxide</t>
        </is>
      </c>
      <c r="E117" t="inlineStr">
        <is>
          <t>China</t>
        </is>
      </c>
      <c r="F117" t="inlineStr">
        <is>
          <t>6,102.32</t>
        </is>
      </c>
      <c r="G117" t="inlineStr">
        <is>
          <t>487,051</t>
        </is>
      </c>
      <c r="H117" t="inlineStr">
        <is>
          <t>Kg</t>
        </is>
      </c>
      <c r="I117">
        <f>VALUE(SUBSTITUTE(F117,",",""))*1000</f>
        <v/>
      </c>
      <c r="J117">
        <f>VALUE(SUBSTITUTE(G117,",",""))</f>
        <v/>
      </c>
      <c r="K117">
        <f>E117="World"</f>
        <v/>
      </c>
      <c r="L117">
        <f>IF(J117=0,0,I117/J117)</f>
        <v/>
      </c>
      <c r="M117">
        <f>IF(K117,"",IF(E117="India","Re-import",IF(L117&lt;Lookups!$K$2,"Unit value below floor","")))</f>
        <v/>
      </c>
      <c r="N117">
        <f>IF(AND(NOT(K117),M117=""),1,0)</f>
        <v/>
      </c>
      <c r="O117">
        <f>SUMIFS($I$2:$I$190,$B$2:$B$190,B117,$C$2:$C$190,C117,$N$2:$N$190,1)/SUMIFS($J$2:$J$190,$B$2:$B$190,B117,$C$2:$C$190,C117,$N$2:$N$190,1)</f>
        <v/>
      </c>
      <c r="P117">
        <f>IF(K117,"",IF(M117="Unit value below floor",I117/O117,J117))</f>
        <v/>
      </c>
      <c r="Q117">
        <f>IF(K117,"",P117/1000*VLOOKUP(C117,Lookups!$G$2:$H$3,2,FALSE))</f>
        <v/>
      </c>
    </row>
    <row r="118">
      <c r="A118" t="inlineStr">
        <is>
          <t>India</t>
        </is>
      </c>
      <c r="B118" t="n">
        <v>2019</v>
      </c>
      <c r="C118" t="inlineStr">
        <is>
          <t>282520</t>
        </is>
      </c>
      <c r="D118" t="inlineStr">
        <is>
          <t>Lithium oxide and hydroxide</t>
        </is>
      </c>
      <c r="E118" t="inlineStr">
        <is>
          <t>Russian Federation</t>
        </is>
      </c>
      <c r="F118" t="inlineStr">
        <is>
          <t>4,642.09</t>
        </is>
      </c>
      <c r="G118" t="inlineStr">
        <is>
          <t>498,000</t>
        </is>
      </c>
      <c r="H118" t="inlineStr">
        <is>
          <t>Kg</t>
        </is>
      </c>
      <c r="I118">
        <f>VALUE(SUBSTITUTE(F118,",",""))*1000</f>
        <v/>
      </c>
      <c r="J118">
        <f>VALUE(SUBSTITUTE(G118,",",""))</f>
        <v/>
      </c>
      <c r="K118">
        <f>E118="World"</f>
        <v/>
      </c>
      <c r="L118">
        <f>IF(J118=0,0,I118/J118)</f>
        <v/>
      </c>
      <c r="M118">
        <f>IF(K118,"",IF(E118="India","Re-import",IF(L118&lt;Lookups!$K$2,"Unit value below floor","")))</f>
        <v/>
      </c>
      <c r="N118">
        <f>IF(AND(NOT(K118),M118=""),1,0)</f>
        <v/>
      </c>
      <c r="O118">
        <f>SUMIFS($I$2:$I$190,$B$2:$B$190,B118,$C$2:$C$190,C118,$N$2:$N$190,1)/SUMIFS($J$2:$J$190,$B$2:$B$190,B118,$C$2:$C$190,C118,$N$2:$N$190,1)</f>
        <v/>
      </c>
      <c r="P118">
        <f>IF(K118,"",IF(M118="Unit value below floor",I118/O118,J118))</f>
        <v/>
      </c>
      <c r="Q118">
        <f>IF(K118,"",P118/1000*VLOOKUP(C118,Lookups!$G$2:$H$3,2,FALSE))</f>
        <v/>
      </c>
    </row>
    <row r="119">
      <c r="A119" t="inlineStr">
        <is>
          <t>India</t>
        </is>
      </c>
      <c r="B119" t="n">
        <v>2019</v>
      </c>
      <c r="C119" t="inlineStr">
        <is>
          <t>282520</t>
        </is>
      </c>
      <c r="D119" t="inlineStr">
        <is>
          <t>Lithium oxide and hydroxide</t>
        </is>
      </c>
      <c r="E119" t="inlineStr">
        <is>
          <t>Latvia</t>
        </is>
      </c>
      <c r="F119" t="inlineStr">
        <is>
          <t>1,015.38</t>
        </is>
      </c>
      <c r="G119" t="inlineStr">
        <is>
          <t>88,000</t>
        </is>
      </c>
      <c r="H119" t="inlineStr">
        <is>
          <t>Kg</t>
        </is>
      </c>
      <c r="I119">
        <f>VALUE(SUBSTITUTE(F119,",",""))*1000</f>
        <v/>
      </c>
      <c r="J119">
        <f>VALUE(SUBSTITUTE(G119,",",""))</f>
        <v/>
      </c>
      <c r="K119">
        <f>E119="World"</f>
        <v/>
      </c>
      <c r="L119">
        <f>IF(J119=0,0,I119/J119)</f>
        <v/>
      </c>
      <c r="M119">
        <f>IF(K119,"",IF(E119="India","Re-import",IF(L119&lt;Lookups!$K$2,"Unit value below floor","")))</f>
        <v/>
      </c>
      <c r="N119">
        <f>IF(AND(NOT(K119),M119=""),1,0)</f>
        <v/>
      </c>
      <c r="O119">
        <f>SUMIFS($I$2:$I$190,$B$2:$B$190,B119,$C$2:$C$190,C119,$N$2:$N$190,1)/SUMIFS($J$2:$J$190,$B$2:$B$190,B119,$C$2:$C$190,C119,$N$2:$N$190,1)</f>
        <v/>
      </c>
      <c r="P119">
        <f>IF(K119,"",IF(M119="Unit value below floor",I119/O119,J119))</f>
        <v/>
      </c>
      <c r="Q119">
        <f>IF(K119,"",P119/1000*VLOOKUP(C119,Lookups!$G$2:$H$3,2,FALSE))</f>
        <v/>
      </c>
    </row>
    <row r="120">
      <c r="A120" t="inlineStr">
        <is>
          <t>India</t>
        </is>
      </c>
      <c r="B120" t="n">
        <v>2019</v>
      </c>
      <c r="C120" t="inlineStr">
        <is>
          <t>282520</t>
        </is>
      </c>
      <c r="D120" t="inlineStr">
        <is>
          <t>Lithium oxide and hydroxide</t>
        </is>
      </c>
      <c r="E120" t="inlineStr">
        <is>
          <t>Singapore</t>
        </is>
      </c>
      <c r="F120" t="inlineStr">
        <is>
          <t>760.95</t>
        </is>
      </c>
      <c r="G120" t="inlineStr">
        <is>
          <t>50,000</t>
        </is>
      </c>
      <c r="H120" t="inlineStr">
        <is>
          <t>Kg</t>
        </is>
      </c>
      <c r="I120">
        <f>VALUE(SUBSTITUTE(F120,",",""))*1000</f>
        <v/>
      </c>
      <c r="J120">
        <f>VALUE(SUBSTITUTE(G120,",",""))</f>
        <v/>
      </c>
      <c r="K120">
        <f>E120="World"</f>
        <v/>
      </c>
      <c r="L120">
        <f>IF(J120=0,0,I120/J120)</f>
        <v/>
      </c>
      <c r="M120">
        <f>IF(K120,"",IF(E120="India","Re-import",IF(L120&lt;Lookups!$K$2,"Unit value below floor","")))</f>
        <v/>
      </c>
      <c r="N120">
        <f>IF(AND(NOT(K120),M120=""),1,0)</f>
        <v/>
      </c>
      <c r="O120">
        <f>SUMIFS($I$2:$I$190,$B$2:$B$190,B120,$C$2:$C$190,C120,$N$2:$N$190,1)/SUMIFS($J$2:$J$190,$B$2:$B$190,B120,$C$2:$C$190,C120,$N$2:$N$190,1)</f>
        <v/>
      </c>
      <c r="P120">
        <f>IF(K120,"",IF(M120="Unit value below floor",I120/O120,J120))</f>
        <v/>
      </c>
      <c r="Q120">
        <f>IF(K120,"",P120/1000*VLOOKUP(C120,Lookups!$G$2:$H$3,2,FALSE))</f>
        <v/>
      </c>
    </row>
    <row r="121">
      <c r="A121" t="inlineStr">
        <is>
          <t>India</t>
        </is>
      </c>
      <c r="B121" t="n">
        <v>2019</v>
      </c>
      <c r="C121" t="inlineStr">
        <is>
          <t>282520</t>
        </is>
      </c>
      <c r="D121" t="inlineStr">
        <is>
          <t>Lithium oxide and hydroxide</t>
        </is>
      </c>
      <c r="E121" t="inlineStr">
        <is>
          <t>Chile</t>
        </is>
      </c>
      <c r="F121" t="inlineStr">
        <is>
          <t>376.25</t>
        </is>
      </c>
      <c r="G121" t="inlineStr">
        <is>
          <t>40,000</t>
        </is>
      </c>
      <c r="H121" t="inlineStr">
        <is>
          <t>Kg</t>
        </is>
      </c>
      <c r="I121">
        <f>VALUE(SUBSTITUTE(F121,",",""))*1000</f>
        <v/>
      </c>
      <c r="J121">
        <f>VALUE(SUBSTITUTE(G121,",",""))</f>
        <v/>
      </c>
      <c r="K121">
        <f>E121="World"</f>
        <v/>
      </c>
      <c r="L121">
        <f>IF(J121=0,0,I121/J121)</f>
        <v/>
      </c>
      <c r="M121">
        <f>IF(K121,"",IF(E121="India","Re-import",IF(L121&lt;Lookups!$K$2,"Unit value below floor","")))</f>
        <v/>
      </c>
      <c r="N121">
        <f>IF(AND(NOT(K121),M121=""),1,0)</f>
        <v/>
      </c>
      <c r="O121">
        <f>SUMIFS($I$2:$I$190,$B$2:$B$190,B121,$C$2:$C$190,C121,$N$2:$N$190,1)/SUMIFS($J$2:$J$190,$B$2:$B$190,B121,$C$2:$C$190,C121,$N$2:$N$190,1)</f>
        <v/>
      </c>
      <c r="P121">
        <f>IF(K121,"",IF(M121="Unit value below floor",I121/O121,J121))</f>
        <v/>
      </c>
      <c r="Q121">
        <f>IF(K121,"",P121/1000*VLOOKUP(C121,Lookups!$G$2:$H$3,2,FALSE))</f>
        <v/>
      </c>
    </row>
    <row r="122">
      <c r="A122" t="inlineStr">
        <is>
          <t>India</t>
        </is>
      </c>
      <c r="B122" t="n">
        <v>2019</v>
      </c>
      <c r="C122" t="inlineStr">
        <is>
          <t>282520</t>
        </is>
      </c>
      <c r="D122" t="inlineStr">
        <is>
          <t>Lithium oxide and hydroxide</t>
        </is>
      </c>
      <c r="E122" t="inlineStr">
        <is>
          <t>Germany</t>
        </is>
      </c>
      <c r="F122" t="inlineStr">
        <is>
          <t>317.74</t>
        </is>
      </c>
      <c r="G122" t="inlineStr">
        <is>
          <t>15,789</t>
        </is>
      </c>
      <c r="H122" t="inlineStr">
        <is>
          <t>Kg</t>
        </is>
      </c>
      <c r="I122">
        <f>VALUE(SUBSTITUTE(F122,",",""))*1000</f>
        <v/>
      </c>
      <c r="J122">
        <f>VALUE(SUBSTITUTE(G122,",",""))</f>
        <v/>
      </c>
      <c r="K122">
        <f>E122="World"</f>
        <v/>
      </c>
      <c r="L122">
        <f>IF(J122=0,0,I122/J122)</f>
        <v/>
      </c>
      <c r="M122">
        <f>IF(K122,"",IF(E122="India","Re-import",IF(L122&lt;Lookups!$K$2,"Unit value below floor","")))</f>
        <v/>
      </c>
      <c r="N122">
        <f>IF(AND(NOT(K122),M122=""),1,0)</f>
        <v/>
      </c>
      <c r="O122">
        <f>SUMIFS($I$2:$I$190,$B$2:$B$190,B122,$C$2:$C$190,C122,$N$2:$N$190,1)/SUMIFS($J$2:$J$190,$B$2:$B$190,B122,$C$2:$C$190,C122,$N$2:$N$190,1)</f>
        <v/>
      </c>
      <c r="P122">
        <f>IF(K122,"",IF(M122="Unit value below floor",I122/O122,J122))</f>
        <v/>
      </c>
      <c r="Q122">
        <f>IF(K122,"",P122/1000*VLOOKUP(C122,Lookups!$G$2:$H$3,2,FALSE))</f>
        <v/>
      </c>
    </row>
    <row r="123">
      <c r="A123" t="inlineStr">
        <is>
          <t>India</t>
        </is>
      </c>
      <c r="B123" t="n">
        <v>2019</v>
      </c>
      <c r="C123" t="inlineStr">
        <is>
          <t>282520</t>
        </is>
      </c>
      <c r="D123" t="inlineStr">
        <is>
          <t>Lithium oxide and hydroxide</t>
        </is>
      </c>
      <c r="E123" t="inlineStr">
        <is>
          <t>Japan</t>
        </is>
      </c>
      <c r="F123" t="inlineStr">
        <is>
          <t>243.72</t>
        </is>
      </c>
      <c r="G123" t="inlineStr">
        <is>
          <t>20,000</t>
        </is>
      </c>
      <c r="H123" t="inlineStr">
        <is>
          <t>Kg</t>
        </is>
      </c>
      <c r="I123">
        <f>VALUE(SUBSTITUTE(F123,",",""))*1000</f>
        <v/>
      </c>
      <c r="J123">
        <f>VALUE(SUBSTITUTE(G123,",",""))</f>
        <v/>
      </c>
      <c r="K123">
        <f>E123="World"</f>
        <v/>
      </c>
      <c r="L123">
        <f>IF(J123=0,0,I123/J123)</f>
        <v/>
      </c>
      <c r="M123">
        <f>IF(K123,"",IF(E123="India","Re-import",IF(L123&lt;Lookups!$K$2,"Unit value below floor","")))</f>
        <v/>
      </c>
      <c r="N123">
        <f>IF(AND(NOT(K123),M123=""),1,0)</f>
        <v/>
      </c>
      <c r="O123">
        <f>SUMIFS($I$2:$I$190,$B$2:$B$190,B123,$C$2:$C$190,C123,$N$2:$N$190,1)/SUMIFS($J$2:$J$190,$B$2:$B$190,B123,$C$2:$C$190,C123,$N$2:$N$190,1)</f>
        <v/>
      </c>
      <c r="P123">
        <f>IF(K123,"",IF(M123="Unit value below floor",I123/O123,J123))</f>
        <v/>
      </c>
      <c r="Q123">
        <f>IF(K123,"",P123/1000*VLOOKUP(C123,Lookups!$G$2:$H$3,2,FALSE))</f>
        <v/>
      </c>
    </row>
    <row r="124">
      <c r="A124" t="inlineStr">
        <is>
          <t>India</t>
        </is>
      </c>
      <c r="B124" t="n">
        <v>2019</v>
      </c>
      <c r="C124" t="inlineStr">
        <is>
          <t>282520</t>
        </is>
      </c>
      <c r="D124" t="inlineStr">
        <is>
          <t>Lithium oxide and hydroxide</t>
        </is>
      </c>
      <c r="E124" t="inlineStr">
        <is>
          <t>Hong Kong, China</t>
        </is>
      </c>
      <c r="F124" t="inlineStr">
        <is>
          <t>73.91</t>
        </is>
      </c>
      <c r="G124" t="inlineStr">
        <is>
          <t>5,001</t>
        </is>
      </c>
      <c r="H124" t="inlineStr">
        <is>
          <t>Kg</t>
        </is>
      </c>
      <c r="I124">
        <f>VALUE(SUBSTITUTE(F124,",",""))*1000</f>
        <v/>
      </c>
      <c r="J124">
        <f>VALUE(SUBSTITUTE(G124,",",""))</f>
        <v/>
      </c>
      <c r="K124">
        <f>E124="World"</f>
        <v/>
      </c>
      <c r="L124">
        <f>IF(J124=0,0,I124/J124)</f>
        <v/>
      </c>
      <c r="M124">
        <f>IF(K124,"",IF(E124="India","Re-import",IF(L124&lt;Lookups!$K$2,"Unit value below floor","")))</f>
        <v/>
      </c>
      <c r="N124">
        <f>IF(AND(NOT(K124),M124=""),1,0)</f>
        <v/>
      </c>
      <c r="O124">
        <f>SUMIFS($I$2:$I$190,$B$2:$B$190,B124,$C$2:$C$190,C124,$N$2:$N$190,1)/SUMIFS($J$2:$J$190,$B$2:$B$190,B124,$C$2:$C$190,C124,$N$2:$N$190,1)</f>
        <v/>
      </c>
      <c r="P124">
        <f>IF(K124,"",IF(M124="Unit value below floor",I124/O124,J124))</f>
        <v/>
      </c>
      <c r="Q124">
        <f>IF(K124,"",P124/1000*VLOOKUP(C124,Lookups!$G$2:$H$3,2,FALSE))</f>
        <v/>
      </c>
    </row>
    <row r="125">
      <c r="A125" t="inlineStr">
        <is>
          <t>India</t>
        </is>
      </c>
      <c r="B125" t="n">
        <v>2019</v>
      </c>
      <c r="C125" t="inlineStr">
        <is>
          <t>282520</t>
        </is>
      </c>
      <c r="D125" t="inlineStr">
        <is>
          <t>Lithium oxide and hydroxide</t>
        </is>
      </c>
      <c r="E125" t="inlineStr">
        <is>
          <t>United States</t>
        </is>
      </c>
      <c r="F125" t="inlineStr">
        <is>
          <t>70.81</t>
        </is>
      </c>
      <c r="G125" t="inlineStr">
        <is>
          <t>11,421</t>
        </is>
      </c>
      <c r="H125" t="inlineStr">
        <is>
          <t>Kg</t>
        </is>
      </c>
      <c r="I125">
        <f>VALUE(SUBSTITUTE(F125,",",""))*1000</f>
        <v/>
      </c>
      <c r="J125">
        <f>VALUE(SUBSTITUTE(G125,",",""))</f>
        <v/>
      </c>
      <c r="K125">
        <f>E125="World"</f>
        <v/>
      </c>
      <c r="L125">
        <f>IF(J125=0,0,I125/J125)</f>
        <v/>
      </c>
      <c r="M125">
        <f>IF(K125,"",IF(E125="India","Re-import",IF(L125&lt;Lookups!$K$2,"Unit value below floor","")))</f>
        <v/>
      </c>
      <c r="N125">
        <f>IF(AND(NOT(K125),M125=""),1,0)</f>
        <v/>
      </c>
      <c r="O125">
        <f>SUMIFS($I$2:$I$190,$B$2:$B$190,B125,$C$2:$C$190,C125,$N$2:$N$190,1)/SUMIFS($J$2:$J$190,$B$2:$B$190,B125,$C$2:$C$190,C125,$N$2:$N$190,1)</f>
        <v/>
      </c>
      <c r="P125">
        <f>IF(K125,"",IF(M125="Unit value below floor",I125/O125,J125))</f>
        <v/>
      </c>
      <c r="Q125">
        <f>IF(K125,"",P125/1000*VLOOKUP(C125,Lookups!$G$2:$H$3,2,FALSE))</f>
        <v/>
      </c>
    </row>
    <row r="126">
      <c r="A126" t="inlineStr">
        <is>
          <t>India</t>
        </is>
      </c>
      <c r="B126" t="n">
        <v>2019</v>
      </c>
      <c r="C126" t="inlineStr">
        <is>
          <t>282520</t>
        </is>
      </c>
      <c r="D126" t="inlineStr">
        <is>
          <t>Lithium oxide and hydroxide</t>
        </is>
      </c>
      <c r="E126" t="inlineStr">
        <is>
          <t>Netherlands</t>
        </is>
      </c>
      <c r="F126" t="inlineStr">
        <is>
          <t>63.65</t>
        </is>
      </c>
      <c r="G126" t="inlineStr">
        <is>
          <t>5,000</t>
        </is>
      </c>
      <c r="H126" t="inlineStr">
        <is>
          <t>Kg</t>
        </is>
      </c>
      <c r="I126">
        <f>VALUE(SUBSTITUTE(F126,",",""))*1000</f>
        <v/>
      </c>
      <c r="J126">
        <f>VALUE(SUBSTITUTE(G126,",",""))</f>
        <v/>
      </c>
      <c r="K126">
        <f>E126="World"</f>
        <v/>
      </c>
      <c r="L126">
        <f>IF(J126=0,0,I126/J126)</f>
        <v/>
      </c>
      <c r="M126">
        <f>IF(K126,"",IF(E126="India","Re-import",IF(L126&lt;Lookups!$K$2,"Unit value below floor","")))</f>
        <v/>
      </c>
      <c r="N126">
        <f>IF(AND(NOT(K126),M126=""),1,0)</f>
        <v/>
      </c>
      <c r="O126">
        <f>SUMIFS($I$2:$I$190,$B$2:$B$190,B126,$C$2:$C$190,C126,$N$2:$N$190,1)/SUMIFS($J$2:$J$190,$B$2:$B$190,B126,$C$2:$C$190,C126,$N$2:$N$190,1)</f>
        <v/>
      </c>
      <c r="P126">
        <f>IF(K126,"",IF(M126="Unit value below floor",I126/O126,J126))</f>
        <v/>
      </c>
      <c r="Q126">
        <f>IF(K126,"",P126/1000*VLOOKUP(C126,Lookups!$G$2:$H$3,2,FALSE))</f>
        <v/>
      </c>
    </row>
    <row r="127">
      <c r="A127" t="inlineStr">
        <is>
          <t>India</t>
        </is>
      </c>
      <c r="B127" t="n">
        <v>2019</v>
      </c>
      <c r="C127" t="inlineStr">
        <is>
          <t>282520</t>
        </is>
      </c>
      <c r="D127" t="inlineStr">
        <is>
          <t>Lithium oxide and hydroxide</t>
        </is>
      </c>
      <c r="E127" t="inlineStr">
        <is>
          <t>United Kingdom</t>
        </is>
      </c>
      <c r="F127" t="inlineStr">
        <is>
          <t>1.08</t>
        </is>
      </c>
      <c r="G127" t="inlineStr">
        <is>
          <t>34</t>
        </is>
      </c>
      <c r="H127" t="inlineStr">
        <is>
          <t>Kg</t>
        </is>
      </c>
      <c r="I127">
        <f>VALUE(SUBSTITUTE(F127,",",""))*1000</f>
        <v/>
      </c>
      <c r="J127">
        <f>VALUE(SUBSTITUTE(G127,",",""))</f>
        <v/>
      </c>
      <c r="K127">
        <f>E127="World"</f>
        <v/>
      </c>
      <c r="L127">
        <f>IF(J127=0,0,I127/J127)</f>
        <v/>
      </c>
      <c r="M127">
        <f>IF(K127,"",IF(E127="India","Re-import",IF(L127&lt;Lookups!$K$2,"Unit value below floor","")))</f>
        <v/>
      </c>
      <c r="N127">
        <f>IF(AND(NOT(K127),M127=""),1,0)</f>
        <v/>
      </c>
      <c r="O127">
        <f>SUMIFS($I$2:$I$190,$B$2:$B$190,B127,$C$2:$C$190,C127,$N$2:$N$190,1)/SUMIFS($J$2:$J$190,$B$2:$B$190,B127,$C$2:$C$190,C127,$N$2:$N$190,1)</f>
        <v/>
      </c>
      <c r="P127">
        <f>IF(K127,"",IF(M127="Unit value below floor",I127/O127,J127))</f>
        <v/>
      </c>
      <c r="Q127">
        <f>IF(K127,"",P127/1000*VLOOKUP(C127,Lookups!$G$2:$H$3,2,FALSE))</f>
        <v/>
      </c>
    </row>
    <row r="128">
      <c r="A128" t="inlineStr">
        <is>
          <t>India</t>
        </is>
      </c>
      <c r="B128" t="n">
        <v>2019</v>
      </c>
      <c r="C128" t="inlineStr">
        <is>
          <t>282520</t>
        </is>
      </c>
      <c r="D128" t="inlineStr">
        <is>
          <t>Lithium oxide and hydroxide</t>
        </is>
      </c>
      <c r="E128" t="inlineStr">
        <is>
          <t>United Arab Emirates</t>
        </is>
      </c>
      <c r="F128" t="inlineStr">
        <is>
          <t>0.12</t>
        </is>
      </c>
      <c r="G128" t="inlineStr">
        <is>
          <t>6</t>
        </is>
      </c>
      <c r="H128" t="inlineStr">
        <is>
          <t>Kg</t>
        </is>
      </c>
      <c r="I128">
        <f>VALUE(SUBSTITUTE(F128,",",""))*1000</f>
        <v/>
      </c>
      <c r="J128">
        <f>VALUE(SUBSTITUTE(G128,",",""))</f>
        <v/>
      </c>
      <c r="K128">
        <f>E128="World"</f>
        <v/>
      </c>
      <c r="L128">
        <f>IF(J128=0,0,I128/J128)</f>
        <v/>
      </c>
      <c r="M128">
        <f>IF(K128,"",IF(E128="India","Re-import",IF(L128&lt;Lookups!$K$2,"Unit value below floor","")))</f>
        <v/>
      </c>
      <c r="N128">
        <f>IF(AND(NOT(K128),M128=""),1,0)</f>
        <v/>
      </c>
      <c r="O128">
        <f>SUMIFS($I$2:$I$190,$B$2:$B$190,B128,$C$2:$C$190,C128,$N$2:$N$190,1)/SUMIFS($J$2:$J$190,$B$2:$B$190,B128,$C$2:$C$190,C128,$N$2:$N$190,1)</f>
        <v/>
      </c>
      <c r="P128">
        <f>IF(K128,"",IF(M128="Unit value below floor",I128/O128,J128))</f>
        <v/>
      </c>
      <c r="Q128">
        <f>IF(K128,"",P128/1000*VLOOKUP(C128,Lookups!$G$2:$H$3,2,FALSE))</f>
        <v/>
      </c>
    </row>
    <row r="129">
      <c r="A129" t="inlineStr">
        <is>
          <t>India</t>
        </is>
      </c>
      <c r="B129" t="n">
        <v>2019</v>
      </c>
      <c r="C129" t="inlineStr">
        <is>
          <t>282520</t>
        </is>
      </c>
      <c r="D129" t="inlineStr">
        <is>
          <t>Lithium oxide and hydroxide</t>
        </is>
      </c>
      <c r="E129" t="inlineStr">
        <is>
          <t>Canada</t>
        </is>
      </c>
      <c r="F129" t="inlineStr">
        <is>
          <t>0.05</t>
        </is>
      </c>
      <c r="G129" t="inlineStr">
        <is>
          <t>3</t>
        </is>
      </c>
      <c r="H129" t="inlineStr">
        <is>
          <t>Kg</t>
        </is>
      </c>
      <c r="I129">
        <f>VALUE(SUBSTITUTE(F129,",",""))*1000</f>
        <v/>
      </c>
      <c r="J129">
        <f>VALUE(SUBSTITUTE(G129,",",""))</f>
        <v/>
      </c>
      <c r="K129">
        <f>E129="World"</f>
        <v/>
      </c>
      <c r="L129">
        <f>IF(J129=0,0,I129/J129)</f>
        <v/>
      </c>
      <c r="M129">
        <f>IF(K129,"",IF(E129="India","Re-import",IF(L129&lt;Lookups!$K$2,"Unit value below floor","")))</f>
        <v/>
      </c>
      <c r="N129">
        <f>IF(AND(NOT(K129),M129=""),1,0)</f>
        <v/>
      </c>
      <c r="O129">
        <f>SUMIFS($I$2:$I$190,$B$2:$B$190,B129,$C$2:$C$190,C129,$N$2:$N$190,1)/SUMIFS($J$2:$J$190,$B$2:$B$190,B129,$C$2:$C$190,C129,$N$2:$N$190,1)</f>
        <v/>
      </c>
      <c r="P129">
        <f>IF(K129,"",IF(M129="Unit value below floor",I129/O129,J129))</f>
        <v/>
      </c>
      <c r="Q129">
        <f>IF(K129,"",P129/1000*VLOOKUP(C129,Lookups!$G$2:$H$3,2,FALSE))</f>
        <v/>
      </c>
    </row>
    <row r="130">
      <c r="A130" t="inlineStr">
        <is>
          <t>India</t>
        </is>
      </c>
      <c r="B130" t="n">
        <v>2019</v>
      </c>
      <c r="C130" t="inlineStr">
        <is>
          <t>282520</t>
        </is>
      </c>
      <c r="D130" t="inlineStr">
        <is>
          <t>Lithium oxide and hydroxide</t>
        </is>
      </c>
      <c r="E130" t="inlineStr">
        <is>
          <t>Switzerland</t>
        </is>
      </c>
      <c r="F130" t="inlineStr">
        <is>
          <t>0.02</t>
        </is>
      </c>
      <c r="G130" t="inlineStr">
        <is>
          <t>1</t>
        </is>
      </c>
      <c r="H130" t="inlineStr">
        <is>
          <t>Kg</t>
        </is>
      </c>
      <c r="I130">
        <f>VALUE(SUBSTITUTE(F130,",",""))*1000</f>
        <v/>
      </c>
      <c r="J130">
        <f>VALUE(SUBSTITUTE(G130,",",""))</f>
        <v/>
      </c>
      <c r="K130">
        <f>E130="World"</f>
        <v/>
      </c>
      <c r="L130">
        <f>IF(J130=0,0,I130/J130)</f>
        <v/>
      </c>
      <c r="M130">
        <f>IF(K130,"",IF(E130="India","Re-import",IF(L130&lt;Lookups!$K$2,"Unit value below floor","")))</f>
        <v/>
      </c>
      <c r="N130">
        <f>IF(AND(NOT(K130),M130=""),1,0)</f>
        <v/>
      </c>
      <c r="O130">
        <f>SUMIFS($I$2:$I$190,$B$2:$B$190,B130,$C$2:$C$190,C130,$N$2:$N$190,1)/SUMIFS($J$2:$J$190,$B$2:$B$190,B130,$C$2:$C$190,C130,$N$2:$N$190,1)</f>
        <v/>
      </c>
      <c r="P130">
        <f>IF(K130,"",IF(M130="Unit value below floor",I130/O130,J130))</f>
        <v/>
      </c>
      <c r="Q130">
        <f>IF(K130,"",P130/1000*VLOOKUP(C130,Lookups!$G$2:$H$3,2,FALSE))</f>
        <v/>
      </c>
    </row>
    <row r="131">
      <c r="A131" t="inlineStr">
        <is>
          <t>India</t>
        </is>
      </c>
      <c r="B131" t="n">
        <v>2020</v>
      </c>
      <c r="C131" t="inlineStr">
        <is>
          <t>282520</t>
        </is>
      </c>
      <c r="D131" t="inlineStr">
        <is>
          <t>Lithium oxide and hydroxide</t>
        </is>
      </c>
      <c r="E131" t="inlineStr">
        <is>
          <t>World</t>
        </is>
      </c>
      <c r="F131" t="inlineStr">
        <is>
          <t>12,485.15</t>
        </is>
      </c>
      <c r="G131" t="inlineStr">
        <is>
          <t>1,855,960</t>
        </is>
      </c>
      <c r="H131" t="inlineStr">
        <is>
          <t>Kg</t>
        </is>
      </c>
      <c r="I131">
        <f>VALUE(SUBSTITUTE(F131,",",""))*1000</f>
        <v/>
      </c>
      <c r="J131">
        <f>VALUE(SUBSTITUTE(G131,",",""))</f>
        <v/>
      </c>
      <c r="K131">
        <f>E131="World"</f>
        <v/>
      </c>
      <c r="L131">
        <f>IF(J131=0,0,I131/J131)</f>
        <v/>
      </c>
      <c r="M131">
        <f>IF(K131,"",IF(E131="India","Re-import",IF(L131&lt;Lookups!$K$2,"Unit value below floor","")))</f>
        <v/>
      </c>
      <c r="N131">
        <f>IF(AND(NOT(K131),M131=""),1,0)</f>
        <v/>
      </c>
      <c r="O131">
        <f>SUMIFS($I$2:$I$190,$B$2:$B$190,B131,$C$2:$C$190,C131,$N$2:$N$190,1)/SUMIFS($J$2:$J$190,$B$2:$B$190,B131,$C$2:$C$190,C131,$N$2:$N$190,1)</f>
        <v/>
      </c>
      <c r="P131">
        <f>IF(K131,"",IF(M131="Unit value below floor",I131/O131,J131))</f>
        <v/>
      </c>
      <c r="Q131">
        <f>IF(K131,"",P131/1000*VLOOKUP(C131,Lookups!$G$2:$H$3,2,FALSE))</f>
        <v/>
      </c>
    </row>
    <row r="132">
      <c r="A132" t="inlineStr">
        <is>
          <t>India</t>
        </is>
      </c>
      <c r="B132" t="n">
        <v>2020</v>
      </c>
      <c r="C132" t="inlineStr">
        <is>
          <t>282520</t>
        </is>
      </c>
      <c r="D132" t="inlineStr">
        <is>
          <t>Lithium oxide and hydroxide</t>
        </is>
      </c>
      <c r="E132" t="inlineStr">
        <is>
          <t>Chile</t>
        </is>
      </c>
      <c r="F132" t="inlineStr">
        <is>
          <t>3,431.83</t>
        </is>
      </c>
      <c r="G132" t="inlineStr">
        <is>
          <t>540,000</t>
        </is>
      </c>
      <c r="H132" t="inlineStr">
        <is>
          <t>Kg</t>
        </is>
      </c>
      <c r="I132">
        <f>VALUE(SUBSTITUTE(F132,",",""))*1000</f>
        <v/>
      </c>
      <c r="J132">
        <f>VALUE(SUBSTITUTE(G132,",",""))</f>
        <v/>
      </c>
      <c r="K132">
        <f>E132="World"</f>
        <v/>
      </c>
      <c r="L132">
        <f>IF(J132=0,0,I132/J132)</f>
        <v/>
      </c>
      <c r="M132">
        <f>IF(K132,"",IF(E132="India","Re-import",IF(L132&lt;Lookups!$K$2,"Unit value below floor","")))</f>
        <v/>
      </c>
      <c r="N132">
        <f>IF(AND(NOT(K132),M132=""),1,0)</f>
        <v/>
      </c>
      <c r="O132">
        <f>SUMIFS($I$2:$I$190,$B$2:$B$190,B132,$C$2:$C$190,C132,$N$2:$N$190,1)/SUMIFS($J$2:$J$190,$B$2:$B$190,B132,$C$2:$C$190,C132,$N$2:$N$190,1)</f>
        <v/>
      </c>
      <c r="P132">
        <f>IF(K132,"",IF(M132="Unit value below floor",I132/O132,J132))</f>
        <v/>
      </c>
      <c r="Q132">
        <f>IF(K132,"",P132/1000*VLOOKUP(C132,Lookups!$G$2:$H$3,2,FALSE))</f>
        <v/>
      </c>
    </row>
    <row r="133">
      <c r="A133" t="inlineStr">
        <is>
          <t>India</t>
        </is>
      </c>
      <c r="B133" t="n">
        <v>2020</v>
      </c>
      <c r="C133" t="inlineStr">
        <is>
          <t>282520</t>
        </is>
      </c>
      <c r="D133" t="inlineStr">
        <is>
          <t>Lithium oxide and hydroxide</t>
        </is>
      </c>
      <c r="E133" t="inlineStr">
        <is>
          <t>Russian Federation</t>
        </is>
      </c>
      <c r="F133" t="inlineStr">
        <is>
          <t>2,970.81</t>
        </is>
      </c>
      <c r="G133" t="inlineStr">
        <is>
          <t>475,100</t>
        </is>
      </c>
      <c r="H133" t="inlineStr">
        <is>
          <t>Kg</t>
        </is>
      </c>
      <c r="I133">
        <f>VALUE(SUBSTITUTE(F133,",",""))*1000</f>
        <v/>
      </c>
      <c r="J133">
        <f>VALUE(SUBSTITUTE(G133,",",""))</f>
        <v/>
      </c>
      <c r="K133">
        <f>E133="World"</f>
        <v/>
      </c>
      <c r="L133">
        <f>IF(J133=0,0,I133/J133)</f>
        <v/>
      </c>
      <c r="M133">
        <f>IF(K133,"",IF(E133="India","Re-import",IF(L133&lt;Lookups!$K$2,"Unit value below floor","")))</f>
        <v/>
      </c>
      <c r="N133">
        <f>IF(AND(NOT(K133),M133=""),1,0)</f>
        <v/>
      </c>
      <c r="O133">
        <f>SUMIFS($I$2:$I$190,$B$2:$B$190,B133,$C$2:$C$190,C133,$N$2:$N$190,1)/SUMIFS($J$2:$J$190,$B$2:$B$190,B133,$C$2:$C$190,C133,$N$2:$N$190,1)</f>
        <v/>
      </c>
      <c r="P133">
        <f>IF(K133,"",IF(M133="Unit value below floor",I133/O133,J133))</f>
        <v/>
      </c>
      <c r="Q133">
        <f>IF(K133,"",P133/1000*VLOOKUP(C133,Lookups!$G$2:$H$3,2,FALSE))</f>
        <v/>
      </c>
    </row>
    <row r="134">
      <c r="A134" t="inlineStr">
        <is>
          <t>India</t>
        </is>
      </c>
      <c r="B134" t="n">
        <v>2020</v>
      </c>
      <c r="C134" t="inlineStr">
        <is>
          <t>282520</t>
        </is>
      </c>
      <c r="D134" t="inlineStr">
        <is>
          <t>Lithium oxide and hydroxide</t>
        </is>
      </c>
      <c r="E134" t="inlineStr">
        <is>
          <t>China</t>
        </is>
      </c>
      <c r="F134" t="inlineStr">
        <is>
          <t>2,233.30</t>
        </is>
      </c>
      <c r="G134" t="inlineStr">
        <is>
          <t>313,001</t>
        </is>
      </c>
      <c r="H134" t="inlineStr">
        <is>
          <t>Kg</t>
        </is>
      </c>
      <c r="I134">
        <f>VALUE(SUBSTITUTE(F134,",",""))*1000</f>
        <v/>
      </c>
      <c r="J134">
        <f>VALUE(SUBSTITUTE(G134,",",""))</f>
        <v/>
      </c>
      <c r="K134">
        <f>E134="World"</f>
        <v/>
      </c>
      <c r="L134">
        <f>IF(J134=0,0,I134/J134)</f>
        <v/>
      </c>
      <c r="M134">
        <f>IF(K134,"",IF(E134="India","Re-import",IF(L134&lt;Lookups!$K$2,"Unit value below floor","")))</f>
        <v/>
      </c>
      <c r="N134">
        <f>IF(AND(NOT(K134),M134=""),1,0)</f>
        <v/>
      </c>
      <c r="O134">
        <f>SUMIFS($I$2:$I$190,$B$2:$B$190,B134,$C$2:$C$190,C134,$N$2:$N$190,1)/SUMIFS($J$2:$J$190,$B$2:$B$190,B134,$C$2:$C$190,C134,$N$2:$N$190,1)</f>
        <v/>
      </c>
      <c r="P134">
        <f>IF(K134,"",IF(M134="Unit value below floor",I134/O134,J134))</f>
        <v/>
      </c>
      <c r="Q134">
        <f>IF(K134,"",P134/1000*VLOOKUP(C134,Lookups!$G$2:$H$3,2,FALSE))</f>
        <v/>
      </c>
    </row>
    <row r="135">
      <c r="A135" t="inlineStr">
        <is>
          <t>India</t>
        </is>
      </c>
      <c r="B135" t="n">
        <v>2020</v>
      </c>
      <c r="C135" t="inlineStr">
        <is>
          <t>282520</t>
        </is>
      </c>
      <c r="D135" t="inlineStr">
        <is>
          <t>Lithium oxide and hydroxide</t>
        </is>
      </c>
      <c r="E135" t="inlineStr">
        <is>
          <t>Belgium</t>
        </is>
      </c>
      <c r="F135" t="inlineStr">
        <is>
          <t>1,607.01</t>
        </is>
      </c>
      <c r="G135" t="inlineStr">
        <is>
          <t>218,001</t>
        </is>
      </c>
      <c r="H135" t="inlineStr">
        <is>
          <t>Kg</t>
        </is>
      </c>
      <c r="I135">
        <f>VALUE(SUBSTITUTE(F135,",",""))*1000</f>
        <v/>
      </c>
      <c r="J135">
        <f>VALUE(SUBSTITUTE(G135,",",""))</f>
        <v/>
      </c>
      <c r="K135">
        <f>E135="World"</f>
        <v/>
      </c>
      <c r="L135">
        <f>IF(J135=0,0,I135/J135)</f>
        <v/>
      </c>
      <c r="M135">
        <f>IF(K135,"",IF(E135="India","Re-import",IF(L135&lt;Lookups!$K$2,"Unit value below floor","")))</f>
        <v/>
      </c>
      <c r="N135">
        <f>IF(AND(NOT(K135),M135=""),1,0)</f>
        <v/>
      </c>
      <c r="O135">
        <f>SUMIFS($I$2:$I$190,$B$2:$B$190,B135,$C$2:$C$190,C135,$N$2:$N$190,1)/SUMIFS($J$2:$J$190,$B$2:$B$190,B135,$C$2:$C$190,C135,$N$2:$N$190,1)</f>
        <v/>
      </c>
      <c r="P135">
        <f>IF(K135,"",IF(M135="Unit value below floor",I135/O135,J135))</f>
        <v/>
      </c>
      <c r="Q135">
        <f>IF(K135,"",P135/1000*VLOOKUP(C135,Lookups!$G$2:$H$3,2,FALSE))</f>
        <v/>
      </c>
    </row>
    <row r="136">
      <c r="A136" t="inlineStr">
        <is>
          <t>India</t>
        </is>
      </c>
      <c r="B136" t="n">
        <v>2020</v>
      </c>
      <c r="C136" t="inlineStr">
        <is>
          <t>282520</t>
        </is>
      </c>
      <c r="D136" t="inlineStr">
        <is>
          <t>Lithium oxide and hydroxide</t>
        </is>
      </c>
      <c r="E136" t="inlineStr">
        <is>
          <t>Latvia</t>
        </is>
      </c>
      <c r="F136" t="inlineStr">
        <is>
          <t>1,308.71</t>
        </is>
      </c>
      <c r="G136" t="inlineStr">
        <is>
          <t>220,000</t>
        </is>
      </c>
      <c r="H136" t="inlineStr">
        <is>
          <t>Kg</t>
        </is>
      </c>
      <c r="I136">
        <f>VALUE(SUBSTITUTE(F136,",",""))*1000</f>
        <v/>
      </c>
      <c r="J136">
        <f>VALUE(SUBSTITUTE(G136,",",""))</f>
        <v/>
      </c>
      <c r="K136">
        <f>E136="World"</f>
        <v/>
      </c>
      <c r="L136">
        <f>IF(J136=0,0,I136/J136)</f>
        <v/>
      </c>
      <c r="M136">
        <f>IF(K136,"",IF(E136="India","Re-import",IF(L136&lt;Lookups!$K$2,"Unit value below floor","")))</f>
        <v/>
      </c>
      <c r="N136">
        <f>IF(AND(NOT(K136),M136=""),1,0)</f>
        <v/>
      </c>
      <c r="O136">
        <f>SUMIFS($I$2:$I$190,$B$2:$B$190,B136,$C$2:$C$190,C136,$N$2:$N$190,1)/SUMIFS($J$2:$J$190,$B$2:$B$190,B136,$C$2:$C$190,C136,$N$2:$N$190,1)</f>
        <v/>
      </c>
      <c r="P136">
        <f>IF(K136,"",IF(M136="Unit value below floor",I136/O136,J136))</f>
        <v/>
      </c>
      <c r="Q136">
        <f>IF(K136,"",P136/1000*VLOOKUP(C136,Lookups!$G$2:$H$3,2,FALSE))</f>
        <v/>
      </c>
    </row>
    <row r="137">
      <c r="A137" t="inlineStr">
        <is>
          <t>India</t>
        </is>
      </c>
      <c r="B137" t="n">
        <v>2020</v>
      </c>
      <c r="C137" t="inlineStr">
        <is>
          <t>282520</t>
        </is>
      </c>
      <c r="D137" t="inlineStr">
        <is>
          <t>Lithium oxide and hydroxide</t>
        </is>
      </c>
      <c r="E137" t="inlineStr">
        <is>
          <t>Germany</t>
        </is>
      </c>
      <c r="F137" t="inlineStr">
        <is>
          <t>421.28</t>
        </is>
      </c>
      <c r="G137" t="inlineStr">
        <is>
          <t>22,404</t>
        </is>
      </c>
      <c r="H137" t="inlineStr">
        <is>
          <t>Kg</t>
        </is>
      </c>
      <c r="I137">
        <f>VALUE(SUBSTITUTE(F137,",",""))*1000</f>
        <v/>
      </c>
      <c r="J137">
        <f>VALUE(SUBSTITUTE(G137,",",""))</f>
        <v/>
      </c>
      <c r="K137">
        <f>E137="World"</f>
        <v/>
      </c>
      <c r="L137">
        <f>IF(J137=0,0,I137/J137)</f>
        <v/>
      </c>
      <c r="M137">
        <f>IF(K137,"",IF(E137="India","Re-import",IF(L137&lt;Lookups!$K$2,"Unit value below floor","")))</f>
        <v/>
      </c>
      <c r="N137">
        <f>IF(AND(NOT(K137),M137=""),1,0)</f>
        <v/>
      </c>
      <c r="O137">
        <f>SUMIFS($I$2:$I$190,$B$2:$B$190,B137,$C$2:$C$190,C137,$N$2:$N$190,1)/SUMIFS($J$2:$J$190,$B$2:$B$190,B137,$C$2:$C$190,C137,$N$2:$N$190,1)</f>
        <v/>
      </c>
      <c r="P137">
        <f>IF(K137,"",IF(M137="Unit value below floor",I137/O137,J137))</f>
        <v/>
      </c>
      <c r="Q137">
        <f>IF(K137,"",P137/1000*VLOOKUP(C137,Lookups!$G$2:$H$3,2,FALSE))</f>
        <v/>
      </c>
    </row>
    <row r="138">
      <c r="A138" t="inlineStr">
        <is>
          <t>India</t>
        </is>
      </c>
      <c r="B138" t="n">
        <v>2020</v>
      </c>
      <c r="C138" t="inlineStr">
        <is>
          <t>282520</t>
        </is>
      </c>
      <c r="D138" t="inlineStr">
        <is>
          <t>Lithium oxide and hydroxide</t>
        </is>
      </c>
      <c r="E138" t="inlineStr">
        <is>
          <t>Japan</t>
        </is>
      </c>
      <c r="F138" t="inlineStr">
        <is>
          <t>265.43</t>
        </is>
      </c>
      <c r="G138" t="inlineStr">
        <is>
          <t>32,267</t>
        </is>
      </c>
      <c r="H138" t="inlineStr">
        <is>
          <t>Kg</t>
        </is>
      </c>
      <c r="I138">
        <f>VALUE(SUBSTITUTE(F138,",",""))*1000</f>
        <v/>
      </c>
      <c r="J138">
        <f>VALUE(SUBSTITUTE(G138,",",""))</f>
        <v/>
      </c>
      <c r="K138">
        <f>E138="World"</f>
        <v/>
      </c>
      <c r="L138">
        <f>IF(J138=0,0,I138/J138)</f>
        <v/>
      </c>
      <c r="M138">
        <f>IF(K138,"",IF(E138="India","Re-import",IF(L138&lt;Lookups!$K$2,"Unit value below floor","")))</f>
        <v/>
      </c>
      <c r="N138">
        <f>IF(AND(NOT(K138),M138=""),1,0)</f>
        <v/>
      </c>
      <c r="O138">
        <f>SUMIFS($I$2:$I$190,$B$2:$B$190,B138,$C$2:$C$190,C138,$N$2:$N$190,1)/SUMIFS($J$2:$J$190,$B$2:$B$190,B138,$C$2:$C$190,C138,$N$2:$N$190,1)</f>
        <v/>
      </c>
      <c r="P138">
        <f>IF(K138,"",IF(M138="Unit value below floor",I138/O138,J138))</f>
        <v/>
      </c>
      <c r="Q138">
        <f>IF(K138,"",P138/1000*VLOOKUP(C138,Lookups!$G$2:$H$3,2,FALSE))</f>
        <v/>
      </c>
    </row>
    <row r="139">
      <c r="A139" t="inlineStr">
        <is>
          <t>India</t>
        </is>
      </c>
      <c r="B139" t="n">
        <v>2020</v>
      </c>
      <c r="C139" t="inlineStr">
        <is>
          <t>282520</t>
        </is>
      </c>
      <c r="D139" t="inlineStr">
        <is>
          <t>Lithium oxide and hydroxide</t>
        </is>
      </c>
      <c r="E139" t="inlineStr">
        <is>
          <t>Hong Kong, China</t>
        </is>
      </c>
      <c r="F139" t="inlineStr">
        <is>
          <t>128.88</t>
        </is>
      </c>
      <c r="G139" t="inlineStr">
        <is>
          <t>15,000</t>
        </is>
      </c>
      <c r="H139" t="inlineStr">
        <is>
          <t>Kg</t>
        </is>
      </c>
      <c r="I139">
        <f>VALUE(SUBSTITUTE(F139,",",""))*1000</f>
        <v/>
      </c>
      <c r="J139">
        <f>VALUE(SUBSTITUTE(G139,",",""))</f>
        <v/>
      </c>
      <c r="K139">
        <f>E139="World"</f>
        <v/>
      </c>
      <c r="L139">
        <f>IF(J139=0,0,I139/J139)</f>
        <v/>
      </c>
      <c r="M139">
        <f>IF(K139,"",IF(E139="India","Re-import",IF(L139&lt;Lookups!$K$2,"Unit value below floor","")))</f>
        <v/>
      </c>
      <c r="N139">
        <f>IF(AND(NOT(K139),M139=""),1,0)</f>
        <v/>
      </c>
      <c r="O139">
        <f>SUMIFS($I$2:$I$190,$B$2:$B$190,B139,$C$2:$C$190,C139,$N$2:$N$190,1)/SUMIFS($J$2:$J$190,$B$2:$B$190,B139,$C$2:$C$190,C139,$N$2:$N$190,1)</f>
        <v/>
      </c>
      <c r="P139">
        <f>IF(K139,"",IF(M139="Unit value below floor",I139/O139,J139))</f>
        <v/>
      </c>
      <c r="Q139">
        <f>IF(K139,"",P139/1000*VLOOKUP(C139,Lookups!$G$2:$H$3,2,FALSE))</f>
        <v/>
      </c>
    </row>
    <row r="140">
      <c r="A140" t="inlineStr">
        <is>
          <t>India</t>
        </is>
      </c>
      <c r="B140" t="n">
        <v>2020</v>
      </c>
      <c r="C140" t="inlineStr">
        <is>
          <t>282520</t>
        </is>
      </c>
      <c r="D140" t="inlineStr">
        <is>
          <t>Lithium oxide and hydroxide</t>
        </is>
      </c>
      <c r="E140" t="inlineStr">
        <is>
          <t>United Arab Emirates</t>
        </is>
      </c>
      <c r="F140" t="inlineStr">
        <is>
          <t>108.95</t>
        </is>
      </c>
      <c r="G140" t="inlineStr">
        <is>
          <t>20,000</t>
        </is>
      </c>
      <c r="H140" t="inlineStr">
        <is>
          <t>Kg</t>
        </is>
      </c>
      <c r="I140">
        <f>VALUE(SUBSTITUTE(F140,",",""))*1000</f>
        <v/>
      </c>
      <c r="J140">
        <f>VALUE(SUBSTITUTE(G140,",",""))</f>
        <v/>
      </c>
      <c r="K140">
        <f>E140="World"</f>
        <v/>
      </c>
      <c r="L140">
        <f>IF(J140=0,0,I140/J140)</f>
        <v/>
      </c>
      <c r="M140">
        <f>IF(K140,"",IF(E140="India","Re-import",IF(L140&lt;Lookups!$K$2,"Unit value below floor","")))</f>
        <v/>
      </c>
      <c r="N140">
        <f>IF(AND(NOT(K140),M140=""),1,0)</f>
        <v/>
      </c>
      <c r="O140">
        <f>SUMIFS($I$2:$I$190,$B$2:$B$190,B140,$C$2:$C$190,C140,$N$2:$N$190,1)/SUMIFS($J$2:$J$190,$B$2:$B$190,B140,$C$2:$C$190,C140,$N$2:$N$190,1)</f>
        <v/>
      </c>
      <c r="P140">
        <f>IF(K140,"",IF(M140="Unit value below floor",I140/O140,J140))</f>
        <v/>
      </c>
      <c r="Q140">
        <f>IF(K140,"",P140/1000*VLOOKUP(C140,Lookups!$G$2:$H$3,2,FALSE))</f>
        <v/>
      </c>
    </row>
    <row r="141">
      <c r="A141" t="inlineStr">
        <is>
          <t>India</t>
        </is>
      </c>
      <c r="B141" t="n">
        <v>2020</v>
      </c>
      <c r="C141" t="inlineStr">
        <is>
          <t>282520</t>
        </is>
      </c>
      <c r="D141" t="inlineStr">
        <is>
          <t>Lithium oxide and hydroxide</t>
        </is>
      </c>
      <c r="E141" t="inlineStr">
        <is>
          <t>United States</t>
        </is>
      </c>
      <c r="F141" t="inlineStr">
        <is>
          <t>6.99</t>
        </is>
      </c>
      <c r="G141" t="inlineStr">
        <is>
          <t>85</t>
        </is>
      </c>
      <c r="H141" t="inlineStr">
        <is>
          <t>Kg</t>
        </is>
      </c>
      <c r="I141">
        <f>VALUE(SUBSTITUTE(F141,",",""))*1000</f>
        <v/>
      </c>
      <c r="J141">
        <f>VALUE(SUBSTITUTE(G141,",",""))</f>
        <v/>
      </c>
      <c r="K141">
        <f>E141="World"</f>
        <v/>
      </c>
      <c r="L141">
        <f>IF(J141=0,0,I141/J141)</f>
        <v/>
      </c>
      <c r="M141">
        <f>IF(K141,"",IF(E141="India","Re-import",IF(L141&lt;Lookups!$K$2,"Unit value below floor","")))</f>
        <v/>
      </c>
      <c r="N141">
        <f>IF(AND(NOT(K141),M141=""),1,0)</f>
        <v/>
      </c>
      <c r="O141">
        <f>SUMIFS($I$2:$I$190,$B$2:$B$190,B141,$C$2:$C$190,C141,$N$2:$N$190,1)/SUMIFS($J$2:$J$190,$B$2:$B$190,B141,$C$2:$C$190,C141,$N$2:$N$190,1)</f>
        <v/>
      </c>
      <c r="P141">
        <f>IF(K141,"",IF(M141="Unit value below floor",I141/O141,J141))</f>
        <v/>
      </c>
      <c r="Q141">
        <f>IF(K141,"",P141/1000*VLOOKUP(C141,Lookups!$G$2:$H$3,2,FALSE))</f>
        <v/>
      </c>
    </row>
    <row r="142">
      <c r="A142" t="inlineStr">
        <is>
          <t>India</t>
        </is>
      </c>
      <c r="B142" t="n">
        <v>2020</v>
      </c>
      <c r="C142" t="inlineStr">
        <is>
          <t>282520</t>
        </is>
      </c>
      <c r="D142" t="inlineStr">
        <is>
          <t>Lithium oxide and hydroxide</t>
        </is>
      </c>
      <c r="E142" t="inlineStr">
        <is>
          <t>United Kingdom</t>
        </is>
      </c>
      <c r="F142" t="inlineStr">
        <is>
          <t>1.21</t>
        </is>
      </c>
      <c r="G142" t="inlineStr">
        <is>
          <t>76</t>
        </is>
      </c>
      <c r="H142" t="inlineStr">
        <is>
          <t>Kg</t>
        </is>
      </c>
      <c r="I142">
        <f>VALUE(SUBSTITUTE(F142,",",""))*1000</f>
        <v/>
      </c>
      <c r="J142">
        <f>VALUE(SUBSTITUTE(G142,",",""))</f>
        <v/>
      </c>
      <c r="K142">
        <f>E142="World"</f>
        <v/>
      </c>
      <c r="L142">
        <f>IF(J142=0,0,I142/J142)</f>
        <v/>
      </c>
      <c r="M142">
        <f>IF(K142,"",IF(E142="India","Re-import",IF(L142&lt;Lookups!$K$2,"Unit value below floor","")))</f>
        <v/>
      </c>
      <c r="N142">
        <f>IF(AND(NOT(K142),M142=""),1,0)</f>
        <v/>
      </c>
      <c r="O142">
        <f>SUMIFS($I$2:$I$190,$B$2:$B$190,B142,$C$2:$C$190,C142,$N$2:$N$190,1)/SUMIFS($J$2:$J$190,$B$2:$B$190,B142,$C$2:$C$190,C142,$N$2:$N$190,1)</f>
        <v/>
      </c>
      <c r="P142">
        <f>IF(K142,"",IF(M142="Unit value below floor",I142/O142,J142))</f>
        <v/>
      </c>
      <c r="Q142">
        <f>IF(K142,"",P142/1000*VLOOKUP(C142,Lookups!$G$2:$H$3,2,FALSE))</f>
        <v/>
      </c>
    </row>
    <row r="143">
      <c r="A143" t="inlineStr">
        <is>
          <t>India</t>
        </is>
      </c>
      <c r="B143" t="n">
        <v>2020</v>
      </c>
      <c r="C143" t="inlineStr">
        <is>
          <t>282520</t>
        </is>
      </c>
      <c r="D143" t="inlineStr">
        <is>
          <t>Lithium oxide and hydroxide</t>
        </is>
      </c>
      <c r="E143" t="inlineStr">
        <is>
          <t>Switzerland</t>
        </is>
      </c>
      <c r="F143" t="inlineStr">
        <is>
          <t>0.74</t>
        </is>
      </c>
      <c r="G143" t="inlineStr">
        <is>
          <t>23</t>
        </is>
      </c>
      <c r="H143" t="inlineStr">
        <is>
          <t>Kg</t>
        </is>
      </c>
      <c r="I143">
        <f>VALUE(SUBSTITUTE(F143,",",""))*1000</f>
        <v/>
      </c>
      <c r="J143">
        <f>VALUE(SUBSTITUTE(G143,",",""))</f>
        <v/>
      </c>
      <c r="K143">
        <f>E143="World"</f>
        <v/>
      </c>
      <c r="L143">
        <f>IF(J143=0,0,I143/J143)</f>
        <v/>
      </c>
      <c r="M143">
        <f>IF(K143,"",IF(E143="India","Re-import",IF(L143&lt;Lookups!$K$2,"Unit value below floor","")))</f>
        <v/>
      </c>
      <c r="N143">
        <f>IF(AND(NOT(K143),M143=""),1,0)</f>
        <v/>
      </c>
      <c r="O143">
        <f>SUMIFS($I$2:$I$190,$B$2:$B$190,B143,$C$2:$C$190,C143,$N$2:$N$190,1)/SUMIFS($J$2:$J$190,$B$2:$B$190,B143,$C$2:$C$190,C143,$N$2:$N$190,1)</f>
        <v/>
      </c>
      <c r="P143">
        <f>IF(K143,"",IF(M143="Unit value below floor",I143/O143,J143))</f>
        <v/>
      </c>
      <c r="Q143">
        <f>IF(K143,"",P143/1000*VLOOKUP(C143,Lookups!$G$2:$H$3,2,FALSE))</f>
        <v/>
      </c>
    </row>
    <row r="144">
      <c r="A144" t="inlineStr">
        <is>
          <t>India</t>
        </is>
      </c>
      <c r="B144" t="n">
        <v>2021</v>
      </c>
      <c r="C144" t="inlineStr">
        <is>
          <t>282520</t>
        </is>
      </c>
      <c r="D144" t="inlineStr">
        <is>
          <t>Lithium oxide and hydroxide</t>
        </is>
      </c>
      <c r="E144" t="inlineStr">
        <is>
          <t>World</t>
        </is>
      </c>
      <c r="F144" t="inlineStr">
        <is>
          <t>24,116.21</t>
        </is>
      </c>
      <c r="G144" t="inlineStr">
        <is>
          <t>2,756,830</t>
        </is>
      </c>
      <c r="H144" t="inlineStr">
        <is>
          <t>Kg</t>
        </is>
      </c>
      <c r="I144">
        <f>VALUE(SUBSTITUTE(F144,",",""))*1000</f>
        <v/>
      </c>
      <c r="J144">
        <f>VALUE(SUBSTITUTE(G144,",",""))</f>
        <v/>
      </c>
      <c r="K144">
        <f>E144="World"</f>
        <v/>
      </c>
      <c r="L144">
        <f>IF(J144=0,0,I144/J144)</f>
        <v/>
      </c>
      <c r="M144">
        <f>IF(K144,"",IF(E144="India","Re-import",IF(L144&lt;Lookups!$K$2,"Unit value below floor","")))</f>
        <v/>
      </c>
      <c r="N144">
        <f>IF(AND(NOT(K144),M144=""),1,0)</f>
        <v/>
      </c>
      <c r="O144">
        <f>SUMIFS($I$2:$I$190,$B$2:$B$190,B144,$C$2:$C$190,C144,$N$2:$N$190,1)/SUMIFS($J$2:$J$190,$B$2:$B$190,B144,$C$2:$C$190,C144,$N$2:$N$190,1)</f>
        <v/>
      </c>
      <c r="P144">
        <f>IF(K144,"",IF(M144="Unit value below floor",I144/O144,J144))</f>
        <v/>
      </c>
      <c r="Q144">
        <f>IF(K144,"",P144/1000*VLOOKUP(C144,Lookups!$G$2:$H$3,2,FALSE))</f>
        <v/>
      </c>
    </row>
    <row r="145">
      <c r="A145" t="inlineStr">
        <is>
          <t>India</t>
        </is>
      </c>
      <c r="B145" t="n">
        <v>2021</v>
      </c>
      <c r="C145" t="inlineStr">
        <is>
          <t>282520</t>
        </is>
      </c>
      <c r="D145" t="inlineStr">
        <is>
          <t>Lithium oxide and hydroxide</t>
        </is>
      </c>
      <c r="E145" t="inlineStr">
        <is>
          <t>Russian Federation</t>
        </is>
      </c>
      <c r="F145" t="inlineStr">
        <is>
          <t>8,899.72</t>
        </is>
      </c>
      <c r="G145" t="inlineStr">
        <is>
          <t>1,210,000</t>
        </is>
      </c>
      <c r="H145" t="inlineStr">
        <is>
          <t>Kg</t>
        </is>
      </c>
      <c r="I145">
        <f>VALUE(SUBSTITUTE(F145,",",""))*1000</f>
        <v/>
      </c>
      <c r="J145">
        <f>VALUE(SUBSTITUTE(G145,",",""))</f>
        <v/>
      </c>
      <c r="K145">
        <f>E145="World"</f>
        <v/>
      </c>
      <c r="L145">
        <f>IF(J145=0,0,I145/J145)</f>
        <v/>
      </c>
      <c r="M145">
        <f>IF(K145,"",IF(E145="India","Re-import",IF(L145&lt;Lookups!$K$2,"Unit value below floor","")))</f>
        <v/>
      </c>
      <c r="N145">
        <f>IF(AND(NOT(K145),M145=""),1,0)</f>
        <v/>
      </c>
      <c r="O145">
        <f>SUMIFS($I$2:$I$190,$B$2:$B$190,B145,$C$2:$C$190,C145,$N$2:$N$190,1)/SUMIFS($J$2:$J$190,$B$2:$B$190,B145,$C$2:$C$190,C145,$N$2:$N$190,1)</f>
        <v/>
      </c>
      <c r="P145">
        <f>IF(K145,"",IF(M145="Unit value below floor",I145/O145,J145))</f>
        <v/>
      </c>
      <c r="Q145">
        <f>IF(K145,"",P145/1000*VLOOKUP(C145,Lookups!$G$2:$H$3,2,FALSE))</f>
        <v/>
      </c>
    </row>
    <row r="146">
      <c r="A146" t="inlineStr">
        <is>
          <t>India</t>
        </is>
      </c>
      <c r="B146" t="n">
        <v>2021</v>
      </c>
      <c r="C146" t="inlineStr">
        <is>
          <t>282520</t>
        </is>
      </c>
      <c r="D146" t="inlineStr">
        <is>
          <t>Lithium oxide and hydroxide</t>
        </is>
      </c>
      <c r="E146" t="inlineStr">
        <is>
          <t>Belgium</t>
        </is>
      </c>
      <c r="F146" t="inlineStr">
        <is>
          <t>4,685.28</t>
        </is>
      </c>
      <c r="G146" t="inlineStr">
        <is>
          <t>530,000</t>
        </is>
      </c>
      <c r="H146" t="inlineStr">
        <is>
          <t>Kg</t>
        </is>
      </c>
      <c r="I146">
        <f>VALUE(SUBSTITUTE(F146,",",""))*1000</f>
        <v/>
      </c>
      <c r="J146">
        <f>VALUE(SUBSTITUTE(G146,",",""))</f>
        <v/>
      </c>
      <c r="K146">
        <f>E146="World"</f>
        <v/>
      </c>
      <c r="L146">
        <f>IF(J146=0,0,I146/J146)</f>
        <v/>
      </c>
      <c r="M146">
        <f>IF(K146,"",IF(E146="India","Re-import",IF(L146&lt;Lookups!$K$2,"Unit value below floor","")))</f>
        <v/>
      </c>
      <c r="N146">
        <f>IF(AND(NOT(K146),M146=""),1,0)</f>
        <v/>
      </c>
      <c r="O146">
        <f>SUMIFS($I$2:$I$190,$B$2:$B$190,B146,$C$2:$C$190,C146,$N$2:$N$190,1)/SUMIFS($J$2:$J$190,$B$2:$B$190,B146,$C$2:$C$190,C146,$N$2:$N$190,1)</f>
        <v/>
      </c>
      <c r="P146">
        <f>IF(K146,"",IF(M146="Unit value below floor",I146/O146,J146))</f>
        <v/>
      </c>
      <c r="Q146">
        <f>IF(K146,"",P146/1000*VLOOKUP(C146,Lookups!$G$2:$H$3,2,FALSE))</f>
        <v/>
      </c>
    </row>
    <row r="147">
      <c r="A147" t="inlineStr">
        <is>
          <t>India</t>
        </is>
      </c>
      <c r="B147" t="n">
        <v>2021</v>
      </c>
      <c r="C147" t="inlineStr">
        <is>
          <t>282520</t>
        </is>
      </c>
      <c r="D147" t="inlineStr">
        <is>
          <t>Lithium oxide and hydroxide</t>
        </is>
      </c>
      <c r="E147" t="inlineStr">
        <is>
          <t>China</t>
        </is>
      </c>
      <c r="F147" t="inlineStr">
        <is>
          <t>3,281.42</t>
        </is>
      </c>
      <c r="G147" t="inlineStr">
        <is>
          <t>327,175</t>
        </is>
      </c>
      <c r="H147" t="inlineStr">
        <is>
          <t>Kg</t>
        </is>
      </c>
      <c r="I147">
        <f>VALUE(SUBSTITUTE(F147,",",""))*1000</f>
        <v/>
      </c>
      <c r="J147">
        <f>VALUE(SUBSTITUTE(G147,",",""))</f>
        <v/>
      </c>
      <c r="K147">
        <f>E147="World"</f>
        <v/>
      </c>
      <c r="L147">
        <f>IF(J147=0,0,I147/J147)</f>
        <v/>
      </c>
      <c r="M147">
        <f>IF(K147,"",IF(E147="India","Re-import",IF(L147&lt;Lookups!$K$2,"Unit value below floor","")))</f>
        <v/>
      </c>
      <c r="N147">
        <f>IF(AND(NOT(K147),M147=""),1,0)</f>
        <v/>
      </c>
      <c r="O147">
        <f>SUMIFS($I$2:$I$190,$B$2:$B$190,B147,$C$2:$C$190,C147,$N$2:$N$190,1)/SUMIFS($J$2:$J$190,$B$2:$B$190,B147,$C$2:$C$190,C147,$N$2:$N$190,1)</f>
        <v/>
      </c>
      <c r="P147">
        <f>IF(K147,"",IF(M147="Unit value below floor",I147/O147,J147))</f>
        <v/>
      </c>
      <c r="Q147">
        <f>IF(K147,"",P147/1000*VLOOKUP(C147,Lookups!$G$2:$H$3,2,FALSE))</f>
        <v/>
      </c>
    </row>
    <row r="148">
      <c r="A148" t="inlineStr">
        <is>
          <t>India</t>
        </is>
      </c>
      <c r="B148" t="n">
        <v>2021</v>
      </c>
      <c r="C148" t="inlineStr">
        <is>
          <t>282520</t>
        </is>
      </c>
      <c r="D148" t="inlineStr">
        <is>
          <t>Lithium oxide and hydroxide</t>
        </is>
      </c>
      <c r="E148" t="inlineStr">
        <is>
          <t>United Arab Emirates</t>
        </is>
      </c>
      <c r="F148" t="inlineStr">
        <is>
          <t>2,734.71</t>
        </is>
      </c>
      <c r="G148" t="inlineStr">
        <is>
          <t>232,000</t>
        </is>
      </c>
      <c r="H148" t="inlineStr">
        <is>
          <t>Kg</t>
        </is>
      </c>
      <c r="I148">
        <f>VALUE(SUBSTITUTE(F148,",",""))*1000</f>
        <v/>
      </c>
      <c r="J148">
        <f>VALUE(SUBSTITUTE(G148,",",""))</f>
        <v/>
      </c>
      <c r="K148">
        <f>E148="World"</f>
        <v/>
      </c>
      <c r="L148">
        <f>IF(J148=0,0,I148/J148)</f>
        <v/>
      </c>
      <c r="M148">
        <f>IF(K148,"",IF(E148="India","Re-import",IF(L148&lt;Lookups!$K$2,"Unit value below floor","")))</f>
        <v/>
      </c>
      <c r="N148">
        <f>IF(AND(NOT(K148),M148=""),1,0)</f>
        <v/>
      </c>
      <c r="O148">
        <f>SUMIFS($I$2:$I$190,$B$2:$B$190,B148,$C$2:$C$190,C148,$N$2:$N$190,1)/SUMIFS($J$2:$J$190,$B$2:$B$190,B148,$C$2:$C$190,C148,$N$2:$N$190,1)</f>
        <v/>
      </c>
      <c r="P148">
        <f>IF(K148,"",IF(M148="Unit value below floor",I148/O148,J148))</f>
        <v/>
      </c>
      <c r="Q148">
        <f>IF(K148,"",P148/1000*VLOOKUP(C148,Lookups!$G$2:$H$3,2,FALSE))</f>
        <v/>
      </c>
    </row>
    <row r="149">
      <c r="A149" t="inlineStr">
        <is>
          <t>India</t>
        </is>
      </c>
      <c r="B149" t="n">
        <v>2021</v>
      </c>
      <c r="C149" t="inlineStr">
        <is>
          <t>282520</t>
        </is>
      </c>
      <c r="D149" t="inlineStr">
        <is>
          <t>Lithium oxide and hydroxide</t>
        </is>
      </c>
      <c r="E149" t="inlineStr">
        <is>
          <t>Latvia</t>
        </is>
      </c>
      <c r="F149" t="inlineStr">
        <is>
          <t>2,341.72</t>
        </is>
      </c>
      <c r="G149" t="inlineStr">
        <is>
          <t>280,000</t>
        </is>
      </c>
      <c r="H149" t="inlineStr">
        <is>
          <t>Kg</t>
        </is>
      </c>
      <c r="I149">
        <f>VALUE(SUBSTITUTE(F149,",",""))*1000</f>
        <v/>
      </c>
      <c r="J149">
        <f>VALUE(SUBSTITUTE(G149,",",""))</f>
        <v/>
      </c>
      <c r="K149">
        <f>E149="World"</f>
        <v/>
      </c>
      <c r="L149">
        <f>IF(J149=0,0,I149/J149)</f>
        <v/>
      </c>
      <c r="M149">
        <f>IF(K149,"",IF(E149="India","Re-import",IF(L149&lt;Lookups!$K$2,"Unit value below floor","")))</f>
        <v/>
      </c>
      <c r="N149">
        <f>IF(AND(NOT(K149),M149=""),1,0)</f>
        <v/>
      </c>
      <c r="O149">
        <f>SUMIFS($I$2:$I$190,$B$2:$B$190,B149,$C$2:$C$190,C149,$N$2:$N$190,1)/SUMIFS($J$2:$J$190,$B$2:$B$190,B149,$C$2:$C$190,C149,$N$2:$N$190,1)</f>
        <v/>
      </c>
      <c r="P149">
        <f>IF(K149,"",IF(M149="Unit value below floor",I149/O149,J149))</f>
        <v/>
      </c>
      <c r="Q149">
        <f>IF(K149,"",P149/1000*VLOOKUP(C149,Lookups!$G$2:$H$3,2,FALSE))</f>
        <v/>
      </c>
    </row>
    <row r="150">
      <c r="A150" t="inlineStr">
        <is>
          <t>India</t>
        </is>
      </c>
      <c r="B150" t="n">
        <v>2021</v>
      </c>
      <c r="C150" t="inlineStr">
        <is>
          <t>282520</t>
        </is>
      </c>
      <c r="D150" t="inlineStr">
        <is>
          <t>Lithium oxide and hydroxide</t>
        </is>
      </c>
      <c r="E150" t="inlineStr">
        <is>
          <t>Singapore</t>
        </is>
      </c>
      <c r="F150" t="inlineStr">
        <is>
          <t>1,004.88</t>
        </is>
      </c>
      <c r="G150" t="inlineStr">
        <is>
          <t>60,000</t>
        </is>
      </c>
      <c r="H150" t="inlineStr">
        <is>
          <t>Kg</t>
        </is>
      </c>
      <c r="I150">
        <f>VALUE(SUBSTITUTE(F150,",",""))*1000</f>
        <v/>
      </c>
      <c r="J150">
        <f>VALUE(SUBSTITUTE(G150,",",""))</f>
        <v/>
      </c>
      <c r="K150">
        <f>E150="World"</f>
        <v/>
      </c>
      <c r="L150">
        <f>IF(J150=0,0,I150/J150)</f>
        <v/>
      </c>
      <c r="M150">
        <f>IF(K150,"",IF(E150="India","Re-import",IF(L150&lt;Lookups!$K$2,"Unit value below floor","")))</f>
        <v/>
      </c>
      <c r="N150">
        <f>IF(AND(NOT(K150),M150=""),1,0)</f>
        <v/>
      </c>
      <c r="O150">
        <f>SUMIFS($I$2:$I$190,$B$2:$B$190,B150,$C$2:$C$190,C150,$N$2:$N$190,1)/SUMIFS($J$2:$J$190,$B$2:$B$190,B150,$C$2:$C$190,C150,$N$2:$N$190,1)</f>
        <v/>
      </c>
      <c r="P150">
        <f>IF(K150,"",IF(M150="Unit value below floor",I150/O150,J150))</f>
        <v/>
      </c>
      <c r="Q150">
        <f>IF(K150,"",P150/1000*VLOOKUP(C150,Lookups!$G$2:$H$3,2,FALSE))</f>
        <v/>
      </c>
    </row>
    <row r="151">
      <c r="A151" t="inlineStr">
        <is>
          <t>India</t>
        </is>
      </c>
      <c r="B151" t="n">
        <v>2021</v>
      </c>
      <c r="C151" t="inlineStr">
        <is>
          <t>282520</t>
        </is>
      </c>
      <c r="D151" t="inlineStr">
        <is>
          <t>Lithium oxide and hydroxide</t>
        </is>
      </c>
      <c r="E151" t="inlineStr">
        <is>
          <t>United Kingdom</t>
        </is>
      </c>
      <c r="F151" t="inlineStr">
        <is>
          <t>827.75</t>
        </is>
      </c>
      <c r="G151" t="inlineStr">
        <is>
          <t>90,005</t>
        </is>
      </c>
      <c r="H151" t="inlineStr">
        <is>
          <t>Kg</t>
        </is>
      </c>
      <c r="I151">
        <f>VALUE(SUBSTITUTE(F151,",",""))*1000</f>
        <v/>
      </c>
      <c r="J151">
        <f>VALUE(SUBSTITUTE(G151,",",""))</f>
        <v/>
      </c>
      <c r="K151">
        <f>E151="World"</f>
        <v/>
      </c>
      <c r="L151">
        <f>IF(J151=0,0,I151/J151)</f>
        <v/>
      </c>
      <c r="M151">
        <f>IF(K151,"",IF(E151="India","Re-import",IF(L151&lt;Lookups!$K$2,"Unit value below floor","")))</f>
        <v/>
      </c>
      <c r="N151">
        <f>IF(AND(NOT(K151),M151=""),1,0)</f>
        <v/>
      </c>
      <c r="O151">
        <f>SUMIFS($I$2:$I$190,$B$2:$B$190,B151,$C$2:$C$190,C151,$N$2:$N$190,1)/SUMIFS($J$2:$J$190,$B$2:$B$190,B151,$C$2:$C$190,C151,$N$2:$N$190,1)</f>
        <v/>
      </c>
      <c r="P151">
        <f>IF(K151,"",IF(M151="Unit value below floor",I151/O151,J151))</f>
        <v/>
      </c>
      <c r="Q151">
        <f>IF(K151,"",P151/1000*VLOOKUP(C151,Lookups!$G$2:$H$3,2,FALSE))</f>
        <v/>
      </c>
    </row>
    <row r="152">
      <c r="A152" t="inlineStr">
        <is>
          <t>India</t>
        </is>
      </c>
      <c r="B152" t="n">
        <v>2021</v>
      </c>
      <c r="C152" t="inlineStr">
        <is>
          <t>282520</t>
        </is>
      </c>
      <c r="D152" t="inlineStr">
        <is>
          <t>Lithium oxide and hydroxide</t>
        </is>
      </c>
      <c r="E152" t="inlineStr">
        <is>
          <t>Germany</t>
        </is>
      </c>
      <c r="F152" t="inlineStr">
        <is>
          <t>294.35</t>
        </is>
      </c>
      <c r="G152" t="inlineStr">
        <is>
          <t>24,599</t>
        </is>
      </c>
      <c r="H152" t="inlineStr">
        <is>
          <t>Kg</t>
        </is>
      </c>
      <c r="I152">
        <f>VALUE(SUBSTITUTE(F152,",",""))*1000</f>
        <v/>
      </c>
      <c r="J152">
        <f>VALUE(SUBSTITUTE(G152,",",""))</f>
        <v/>
      </c>
      <c r="K152">
        <f>E152="World"</f>
        <v/>
      </c>
      <c r="L152">
        <f>IF(J152=0,0,I152/J152)</f>
        <v/>
      </c>
      <c r="M152">
        <f>IF(K152,"",IF(E152="India","Re-import",IF(L152&lt;Lookups!$K$2,"Unit value below floor","")))</f>
        <v/>
      </c>
      <c r="N152">
        <f>IF(AND(NOT(K152),M152=""),1,0)</f>
        <v/>
      </c>
      <c r="O152">
        <f>SUMIFS($I$2:$I$190,$B$2:$B$190,B152,$C$2:$C$190,C152,$N$2:$N$190,1)/SUMIFS($J$2:$J$190,$B$2:$B$190,B152,$C$2:$C$190,C152,$N$2:$N$190,1)</f>
        <v/>
      </c>
      <c r="P152">
        <f>IF(K152,"",IF(M152="Unit value below floor",I152/O152,J152))</f>
        <v/>
      </c>
      <c r="Q152">
        <f>IF(K152,"",P152/1000*VLOOKUP(C152,Lookups!$G$2:$H$3,2,FALSE))</f>
        <v/>
      </c>
    </row>
    <row r="153">
      <c r="A153" t="inlineStr">
        <is>
          <t>India</t>
        </is>
      </c>
      <c r="B153" t="n">
        <v>2021</v>
      </c>
      <c r="C153" t="inlineStr">
        <is>
          <t>282520</t>
        </is>
      </c>
      <c r="D153" t="inlineStr">
        <is>
          <t>Lithium oxide and hydroxide</t>
        </is>
      </c>
      <c r="E153" t="inlineStr">
        <is>
          <t>Czech Republic</t>
        </is>
      </c>
      <c r="F153" t="inlineStr">
        <is>
          <t>35.04</t>
        </is>
      </c>
      <c r="G153" t="inlineStr">
        <is>
          <t>2,160</t>
        </is>
      </c>
      <c r="H153" t="inlineStr">
        <is>
          <t>Kg</t>
        </is>
      </c>
      <c r="I153">
        <f>VALUE(SUBSTITUTE(F153,",",""))*1000</f>
        <v/>
      </c>
      <c r="J153">
        <f>VALUE(SUBSTITUTE(G153,",",""))</f>
        <v/>
      </c>
      <c r="K153">
        <f>E153="World"</f>
        <v/>
      </c>
      <c r="L153">
        <f>IF(J153=0,0,I153/J153)</f>
        <v/>
      </c>
      <c r="M153">
        <f>IF(K153,"",IF(E153="India","Re-import",IF(L153&lt;Lookups!$K$2,"Unit value below floor","")))</f>
        <v/>
      </c>
      <c r="N153">
        <f>IF(AND(NOT(K153),M153=""),1,0)</f>
        <v/>
      </c>
      <c r="O153">
        <f>SUMIFS($I$2:$I$190,$B$2:$B$190,B153,$C$2:$C$190,C153,$N$2:$N$190,1)/SUMIFS($J$2:$J$190,$B$2:$B$190,B153,$C$2:$C$190,C153,$N$2:$N$190,1)</f>
        <v/>
      </c>
      <c r="P153">
        <f>IF(K153,"",IF(M153="Unit value below floor",I153/O153,J153))</f>
        <v/>
      </c>
      <c r="Q153">
        <f>IF(K153,"",P153/1000*VLOOKUP(C153,Lookups!$G$2:$H$3,2,FALSE))</f>
        <v/>
      </c>
    </row>
    <row r="154">
      <c r="A154" t="inlineStr">
        <is>
          <t>India</t>
        </is>
      </c>
      <c r="B154" t="n">
        <v>2021</v>
      </c>
      <c r="C154" t="inlineStr">
        <is>
          <t>282520</t>
        </is>
      </c>
      <c r="D154" t="inlineStr">
        <is>
          <t>Lithium oxide and hydroxide</t>
        </is>
      </c>
      <c r="E154" t="inlineStr">
        <is>
          <t>United States</t>
        </is>
      </c>
      <c r="F154" t="inlineStr">
        <is>
          <t>4.78</t>
        </is>
      </c>
      <c r="G154" t="inlineStr">
        <is>
          <t>6</t>
        </is>
      </c>
      <c r="H154" t="inlineStr">
        <is>
          <t>Kg</t>
        </is>
      </c>
      <c r="I154">
        <f>VALUE(SUBSTITUTE(F154,",",""))*1000</f>
        <v/>
      </c>
      <c r="J154">
        <f>VALUE(SUBSTITUTE(G154,",",""))</f>
        <v/>
      </c>
      <c r="K154">
        <f>E154="World"</f>
        <v/>
      </c>
      <c r="L154">
        <f>IF(J154=0,0,I154/J154)</f>
        <v/>
      </c>
      <c r="M154">
        <f>IF(K154,"",IF(E154="India","Re-import",IF(L154&lt;Lookups!$K$2,"Unit value below floor","")))</f>
        <v/>
      </c>
      <c r="N154">
        <f>IF(AND(NOT(K154),M154=""),1,0)</f>
        <v/>
      </c>
      <c r="O154">
        <f>SUMIFS($I$2:$I$190,$B$2:$B$190,B154,$C$2:$C$190,C154,$N$2:$N$190,1)/SUMIFS($J$2:$J$190,$B$2:$B$190,B154,$C$2:$C$190,C154,$N$2:$N$190,1)</f>
        <v/>
      </c>
      <c r="P154">
        <f>IF(K154,"",IF(M154="Unit value below floor",I154/O154,J154))</f>
        <v/>
      </c>
      <c r="Q154">
        <f>IF(K154,"",P154/1000*VLOOKUP(C154,Lookups!$G$2:$H$3,2,FALSE))</f>
        <v/>
      </c>
    </row>
    <row r="155">
      <c r="A155" t="inlineStr">
        <is>
          <t>India</t>
        </is>
      </c>
      <c r="B155" t="n">
        <v>2021</v>
      </c>
      <c r="C155" t="inlineStr">
        <is>
          <t>282520</t>
        </is>
      </c>
      <c r="D155" t="inlineStr">
        <is>
          <t>Lithium oxide and hydroxide</t>
        </is>
      </c>
      <c r="E155" t="inlineStr">
        <is>
          <t>France</t>
        </is>
      </c>
      <c r="F155" t="inlineStr">
        <is>
          <t>3.84</t>
        </is>
      </c>
      <c r="G155" t="inlineStr">
        <is>
          <t>687</t>
        </is>
      </c>
      <c r="H155" t="inlineStr">
        <is>
          <t>Kg</t>
        </is>
      </c>
      <c r="I155">
        <f>VALUE(SUBSTITUTE(F155,",",""))*1000</f>
        <v/>
      </c>
      <c r="J155">
        <f>VALUE(SUBSTITUTE(G155,",",""))</f>
        <v/>
      </c>
      <c r="K155">
        <f>E155="World"</f>
        <v/>
      </c>
      <c r="L155">
        <f>IF(J155=0,0,I155/J155)</f>
        <v/>
      </c>
      <c r="M155">
        <f>IF(K155,"",IF(E155="India","Re-import",IF(L155&lt;Lookups!$K$2,"Unit value below floor","")))</f>
        <v/>
      </c>
      <c r="N155">
        <f>IF(AND(NOT(K155),M155=""),1,0)</f>
        <v/>
      </c>
      <c r="O155">
        <f>SUMIFS($I$2:$I$190,$B$2:$B$190,B155,$C$2:$C$190,C155,$N$2:$N$190,1)/SUMIFS($J$2:$J$190,$B$2:$B$190,B155,$C$2:$C$190,C155,$N$2:$N$190,1)</f>
        <v/>
      </c>
      <c r="P155">
        <f>IF(K155,"",IF(M155="Unit value below floor",I155/O155,J155))</f>
        <v/>
      </c>
      <c r="Q155">
        <f>IF(K155,"",P155/1000*VLOOKUP(C155,Lookups!$G$2:$H$3,2,FALSE))</f>
        <v/>
      </c>
    </row>
    <row r="156">
      <c r="A156" t="inlineStr">
        <is>
          <t>India</t>
        </is>
      </c>
      <c r="B156" t="n">
        <v>2021</v>
      </c>
      <c r="C156" t="inlineStr">
        <is>
          <t>282520</t>
        </is>
      </c>
      <c r="D156" t="inlineStr">
        <is>
          <t>Lithium oxide and hydroxide</t>
        </is>
      </c>
      <c r="E156" t="inlineStr">
        <is>
          <t>Netherlands</t>
        </is>
      </c>
      <c r="F156" t="inlineStr">
        <is>
          <t>2.74</t>
        </is>
      </c>
      <c r="G156" t="inlineStr">
        <is>
          <t>200</t>
        </is>
      </c>
      <c r="H156" t="inlineStr">
        <is>
          <t>Kg</t>
        </is>
      </c>
      <c r="I156">
        <f>VALUE(SUBSTITUTE(F156,",",""))*1000</f>
        <v/>
      </c>
      <c r="J156">
        <f>VALUE(SUBSTITUTE(G156,",",""))</f>
        <v/>
      </c>
      <c r="K156">
        <f>E156="World"</f>
        <v/>
      </c>
      <c r="L156">
        <f>IF(J156=0,0,I156/J156)</f>
        <v/>
      </c>
      <c r="M156">
        <f>IF(K156,"",IF(E156="India","Re-import",IF(L156&lt;Lookups!$K$2,"Unit value below floor","")))</f>
        <v/>
      </c>
      <c r="N156">
        <f>IF(AND(NOT(K156),M156=""),1,0)</f>
        <v/>
      </c>
      <c r="O156">
        <f>SUMIFS($I$2:$I$190,$B$2:$B$190,B156,$C$2:$C$190,C156,$N$2:$N$190,1)/SUMIFS($J$2:$J$190,$B$2:$B$190,B156,$C$2:$C$190,C156,$N$2:$N$190,1)</f>
        <v/>
      </c>
      <c r="P156">
        <f>IF(K156,"",IF(M156="Unit value below floor",I156/O156,J156))</f>
        <v/>
      </c>
      <c r="Q156">
        <f>IF(K156,"",P156/1000*VLOOKUP(C156,Lookups!$G$2:$H$3,2,FALSE))</f>
        <v/>
      </c>
    </row>
    <row r="157">
      <c r="A157" t="inlineStr">
        <is>
          <t>India</t>
        </is>
      </c>
      <c r="B157" t="n">
        <v>2022</v>
      </c>
      <c r="C157" t="inlineStr">
        <is>
          <t>282520</t>
        </is>
      </c>
      <c r="D157" t="inlineStr">
        <is>
          <t>Lithium oxide and hydroxide</t>
        </is>
      </c>
      <c r="E157" t="inlineStr">
        <is>
          <t>World</t>
        </is>
      </c>
      <c r="F157" t="inlineStr">
        <is>
          <t>67,258.06</t>
        </is>
      </c>
      <c r="G157" t="inlineStr">
        <is>
          <t>1,330,530</t>
        </is>
      </c>
      <c r="H157" t="inlineStr">
        <is>
          <t>Kg</t>
        </is>
      </c>
      <c r="I157">
        <f>VALUE(SUBSTITUTE(F157,",",""))*1000</f>
        <v/>
      </c>
      <c r="J157">
        <f>VALUE(SUBSTITUTE(G157,",",""))</f>
        <v/>
      </c>
      <c r="K157">
        <f>E157="World"</f>
        <v/>
      </c>
      <c r="L157">
        <f>IF(J157=0,0,I157/J157)</f>
        <v/>
      </c>
      <c r="M157">
        <f>IF(K157,"",IF(E157="India","Re-import",IF(L157&lt;Lookups!$K$2,"Unit value below floor","")))</f>
        <v/>
      </c>
      <c r="N157">
        <f>IF(AND(NOT(K157),M157=""),1,0)</f>
        <v/>
      </c>
      <c r="O157">
        <f>SUMIFS($I$2:$I$190,$B$2:$B$190,B157,$C$2:$C$190,C157,$N$2:$N$190,1)/SUMIFS($J$2:$J$190,$B$2:$B$190,B157,$C$2:$C$190,C157,$N$2:$N$190,1)</f>
        <v/>
      </c>
      <c r="P157">
        <f>IF(K157,"",IF(M157="Unit value below floor",I157/O157,J157))</f>
        <v/>
      </c>
      <c r="Q157">
        <f>IF(K157,"",P157/1000*VLOOKUP(C157,Lookups!$G$2:$H$3,2,FALSE))</f>
        <v/>
      </c>
    </row>
    <row r="158">
      <c r="A158" t="inlineStr">
        <is>
          <t>India</t>
        </is>
      </c>
      <c r="B158" t="n">
        <v>2022</v>
      </c>
      <c r="C158" t="inlineStr">
        <is>
          <t>282520</t>
        </is>
      </c>
      <c r="D158" t="inlineStr">
        <is>
          <t>Lithium oxide and hydroxide</t>
        </is>
      </c>
      <c r="E158" t="inlineStr">
        <is>
          <t>Belgium</t>
        </is>
      </c>
      <c r="F158" t="inlineStr">
        <is>
          <t>31,656.50</t>
        </is>
      </c>
      <c r="G158" t="inlineStr">
        <is>
          <t>515,000</t>
        </is>
      </c>
      <c r="H158" t="inlineStr">
        <is>
          <t>Kg</t>
        </is>
      </c>
      <c r="I158">
        <f>VALUE(SUBSTITUTE(F158,",",""))*1000</f>
        <v/>
      </c>
      <c r="J158">
        <f>VALUE(SUBSTITUTE(G158,",",""))</f>
        <v/>
      </c>
      <c r="K158">
        <f>E158="World"</f>
        <v/>
      </c>
      <c r="L158">
        <f>IF(J158=0,0,I158/J158)</f>
        <v/>
      </c>
      <c r="M158">
        <f>IF(K158,"",IF(E158="India","Re-import",IF(L158&lt;Lookups!$K$2,"Unit value below floor","")))</f>
        <v/>
      </c>
      <c r="N158">
        <f>IF(AND(NOT(K158),M158=""),1,0)</f>
        <v/>
      </c>
      <c r="O158">
        <f>SUMIFS($I$2:$I$190,$B$2:$B$190,B158,$C$2:$C$190,C158,$N$2:$N$190,1)/SUMIFS($J$2:$J$190,$B$2:$B$190,B158,$C$2:$C$190,C158,$N$2:$N$190,1)</f>
        <v/>
      </c>
      <c r="P158">
        <f>IF(K158,"",IF(M158="Unit value below floor",I158/O158,J158))</f>
        <v/>
      </c>
      <c r="Q158">
        <f>IF(K158,"",P158/1000*VLOOKUP(C158,Lookups!$G$2:$H$3,2,FALSE))</f>
        <v/>
      </c>
    </row>
    <row r="159">
      <c r="A159" t="inlineStr">
        <is>
          <t>India</t>
        </is>
      </c>
      <c r="B159" t="n">
        <v>2022</v>
      </c>
      <c r="C159" t="inlineStr">
        <is>
          <t>282520</t>
        </is>
      </c>
      <c r="D159" t="inlineStr">
        <is>
          <t>Lithium oxide and hydroxide</t>
        </is>
      </c>
      <c r="E159" t="inlineStr">
        <is>
          <t>Russian Federation</t>
        </is>
      </c>
      <c r="F159" t="inlineStr">
        <is>
          <t>12,342.69</t>
        </is>
      </c>
      <c r="G159" t="inlineStr">
        <is>
          <t>359,001</t>
        </is>
      </c>
      <c r="H159" t="inlineStr">
        <is>
          <t>Kg</t>
        </is>
      </c>
      <c r="I159">
        <f>VALUE(SUBSTITUTE(F159,",",""))*1000</f>
        <v/>
      </c>
      <c r="J159">
        <f>VALUE(SUBSTITUTE(G159,",",""))</f>
        <v/>
      </c>
      <c r="K159">
        <f>E159="World"</f>
        <v/>
      </c>
      <c r="L159">
        <f>IF(J159=0,0,I159/J159)</f>
        <v/>
      </c>
      <c r="M159">
        <f>IF(K159,"",IF(E159="India","Re-import",IF(L159&lt;Lookups!$K$2,"Unit value below floor","")))</f>
        <v/>
      </c>
      <c r="N159">
        <f>IF(AND(NOT(K159),M159=""),1,0)</f>
        <v/>
      </c>
      <c r="O159">
        <f>SUMIFS($I$2:$I$190,$B$2:$B$190,B159,$C$2:$C$190,C159,$N$2:$N$190,1)/SUMIFS($J$2:$J$190,$B$2:$B$190,B159,$C$2:$C$190,C159,$N$2:$N$190,1)</f>
        <v/>
      </c>
      <c r="P159">
        <f>IF(K159,"",IF(M159="Unit value below floor",I159/O159,J159))</f>
        <v/>
      </c>
      <c r="Q159">
        <f>IF(K159,"",P159/1000*VLOOKUP(C159,Lookups!$G$2:$H$3,2,FALSE))</f>
        <v/>
      </c>
    </row>
    <row r="160">
      <c r="A160" t="inlineStr">
        <is>
          <t>India</t>
        </is>
      </c>
      <c r="B160" t="n">
        <v>2022</v>
      </c>
      <c r="C160" t="inlineStr">
        <is>
          <t>282520</t>
        </is>
      </c>
      <c r="D160" t="inlineStr">
        <is>
          <t>Lithium oxide and hydroxide</t>
        </is>
      </c>
      <c r="E160" t="inlineStr">
        <is>
          <t>United Arab Emirates</t>
        </is>
      </c>
      <c r="F160" t="inlineStr">
        <is>
          <t>10,000.26</t>
        </is>
      </c>
      <c r="G160" t="inlineStr">
        <is>
          <t>160,472</t>
        </is>
      </c>
      <c r="H160" t="inlineStr">
        <is>
          <t>Kg</t>
        </is>
      </c>
      <c r="I160">
        <f>VALUE(SUBSTITUTE(F160,",",""))*1000</f>
        <v/>
      </c>
      <c r="J160">
        <f>VALUE(SUBSTITUTE(G160,",",""))</f>
        <v/>
      </c>
      <c r="K160">
        <f>E160="World"</f>
        <v/>
      </c>
      <c r="L160">
        <f>IF(J160=0,0,I160/J160)</f>
        <v/>
      </c>
      <c r="M160">
        <f>IF(K160,"",IF(E160="India","Re-import",IF(L160&lt;Lookups!$K$2,"Unit value below floor","")))</f>
        <v/>
      </c>
      <c r="N160">
        <f>IF(AND(NOT(K160),M160=""),1,0)</f>
        <v/>
      </c>
      <c r="O160">
        <f>SUMIFS($I$2:$I$190,$B$2:$B$190,B160,$C$2:$C$190,C160,$N$2:$N$190,1)/SUMIFS($J$2:$J$190,$B$2:$B$190,B160,$C$2:$C$190,C160,$N$2:$N$190,1)</f>
        <v/>
      </c>
      <c r="P160">
        <f>IF(K160,"",IF(M160="Unit value below floor",I160/O160,J160))</f>
        <v/>
      </c>
      <c r="Q160">
        <f>IF(K160,"",P160/1000*VLOOKUP(C160,Lookups!$G$2:$H$3,2,FALSE))</f>
        <v/>
      </c>
    </row>
    <row r="161">
      <c r="A161" t="inlineStr">
        <is>
          <t>India</t>
        </is>
      </c>
      <c r="B161" t="n">
        <v>2022</v>
      </c>
      <c r="C161" t="inlineStr">
        <is>
          <t>282520</t>
        </is>
      </c>
      <c r="D161" t="inlineStr">
        <is>
          <t>Lithium oxide and hydroxide</t>
        </is>
      </c>
      <c r="E161" t="inlineStr">
        <is>
          <t>Singapore</t>
        </is>
      </c>
      <c r="F161" t="inlineStr">
        <is>
          <t>4,325.12</t>
        </is>
      </c>
      <c r="G161" t="inlineStr">
        <is>
          <t>120,000</t>
        </is>
      </c>
      <c r="H161" t="inlineStr">
        <is>
          <t>Kg</t>
        </is>
      </c>
      <c r="I161">
        <f>VALUE(SUBSTITUTE(F161,",",""))*1000</f>
        <v/>
      </c>
      <c r="J161">
        <f>VALUE(SUBSTITUTE(G161,",",""))</f>
        <v/>
      </c>
      <c r="K161">
        <f>E161="World"</f>
        <v/>
      </c>
      <c r="L161">
        <f>IF(J161=0,0,I161/J161)</f>
        <v/>
      </c>
      <c r="M161">
        <f>IF(K161,"",IF(E161="India","Re-import",IF(L161&lt;Lookups!$K$2,"Unit value below floor","")))</f>
        <v/>
      </c>
      <c r="N161">
        <f>IF(AND(NOT(K161),M161=""),1,0)</f>
        <v/>
      </c>
      <c r="O161">
        <f>SUMIFS($I$2:$I$190,$B$2:$B$190,B161,$C$2:$C$190,C161,$N$2:$N$190,1)/SUMIFS($J$2:$J$190,$B$2:$B$190,B161,$C$2:$C$190,C161,$N$2:$N$190,1)</f>
        <v/>
      </c>
      <c r="P161">
        <f>IF(K161,"",IF(M161="Unit value below floor",I161/O161,J161))</f>
        <v/>
      </c>
      <c r="Q161">
        <f>IF(K161,"",P161/1000*VLOOKUP(C161,Lookups!$G$2:$H$3,2,FALSE))</f>
        <v/>
      </c>
    </row>
    <row r="162">
      <c r="A162" t="inlineStr">
        <is>
          <t>India</t>
        </is>
      </c>
      <c r="B162" t="n">
        <v>2022</v>
      </c>
      <c r="C162" t="inlineStr">
        <is>
          <t>282520</t>
        </is>
      </c>
      <c r="D162" t="inlineStr">
        <is>
          <t>Lithium oxide and hydroxide</t>
        </is>
      </c>
      <c r="E162" t="inlineStr">
        <is>
          <t>China</t>
        </is>
      </c>
      <c r="F162" t="inlineStr">
        <is>
          <t>4,103.41</t>
        </is>
      </c>
      <c r="G162" t="inlineStr">
        <is>
          <t>51,252</t>
        </is>
      </c>
      <c r="H162" t="inlineStr">
        <is>
          <t>Kg</t>
        </is>
      </c>
      <c r="I162">
        <f>VALUE(SUBSTITUTE(F162,",",""))*1000</f>
        <v/>
      </c>
      <c r="J162">
        <f>VALUE(SUBSTITUTE(G162,",",""))</f>
        <v/>
      </c>
      <c r="K162">
        <f>E162="World"</f>
        <v/>
      </c>
      <c r="L162">
        <f>IF(J162=0,0,I162/J162)</f>
        <v/>
      </c>
      <c r="M162">
        <f>IF(K162,"",IF(E162="India","Re-import",IF(L162&lt;Lookups!$K$2,"Unit value below floor","")))</f>
        <v/>
      </c>
      <c r="N162">
        <f>IF(AND(NOT(K162),M162=""),1,0)</f>
        <v/>
      </c>
      <c r="O162">
        <f>SUMIFS($I$2:$I$190,$B$2:$B$190,B162,$C$2:$C$190,C162,$N$2:$N$190,1)/SUMIFS($J$2:$J$190,$B$2:$B$190,B162,$C$2:$C$190,C162,$N$2:$N$190,1)</f>
        <v/>
      </c>
      <c r="P162">
        <f>IF(K162,"",IF(M162="Unit value below floor",I162/O162,J162))</f>
        <v/>
      </c>
      <c r="Q162">
        <f>IF(K162,"",P162/1000*VLOOKUP(C162,Lookups!$G$2:$H$3,2,FALSE))</f>
        <v/>
      </c>
    </row>
    <row r="163">
      <c r="A163" t="inlineStr">
        <is>
          <t>India</t>
        </is>
      </c>
      <c r="B163" t="n">
        <v>2022</v>
      </c>
      <c r="C163" t="inlineStr">
        <is>
          <t>282520</t>
        </is>
      </c>
      <c r="D163" t="inlineStr">
        <is>
          <t>Lithium oxide and hydroxide</t>
        </is>
      </c>
      <c r="E163" t="inlineStr">
        <is>
          <t>Latvia</t>
        </is>
      </c>
      <c r="F163" t="inlineStr">
        <is>
          <t>1,600.69</t>
        </is>
      </c>
      <c r="G163" t="inlineStr">
        <is>
          <t>40,000</t>
        </is>
      </c>
      <c r="H163" t="inlineStr">
        <is>
          <t>Kg</t>
        </is>
      </c>
      <c r="I163">
        <f>VALUE(SUBSTITUTE(F163,",",""))*1000</f>
        <v/>
      </c>
      <c r="J163">
        <f>VALUE(SUBSTITUTE(G163,",",""))</f>
        <v/>
      </c>
      <c r="K163">
        <f>E163="World"</f>
        <v/>
      </c>
      <c r="L163">
        <f>IF(J163=0,0,I163/J163)</f>
        <v/>
      </c>
      <c r="M163">
        <f>IF(K163,"",IF(E163="India","Re-import",IF(L163&lt;Lookups!$K$2,"Unit value below floor","")))</f>
        <v/>
      </c>
      <c r="N163">
        <f>IF(AND(NOT(K163),M163=""),1,0)</f>
        <v/>
      </c>
      <c r="O163">
        <f>SUMIFS($I$2:$I$190,$B$2:$B$190,B163,$C$2:$C$190,C163,$N$2:$N$190,1)/SUMIFS($J$2:$J$190,$B$2:$B$190,B163,$C$2:$C$190,C163,$N$2:$N$190,1)</f>
        <v/>
      </c>
      <c r="P163">
        <f>IF(K163,"",IF(M163="Unit value below floor",I163/O163,J163))</f>
        <v/>
      </c>
      <c r="Q163">
        <f>IF(K163,"",P163/1000*VLOOKUP(C163,Lookups!$G$2:$H$3,2,FALSE))</f>
        <v/>
      </c>
    </row>
    <row r="164">
      <c r="A164" t="inlineStr">
        <is>
          <t>India</t>
        </is>
      </c>
      <c r="B164" t="n">
        <v>2022</v>
      </c>
      <c r="C164" t="inlineStr">
        <is>
          <t>282520</t>
        </is>
      </c>
      <c r="D164" t="inlineStr">
        <is>
          <t>Lithium oxide and hydroxide</t>
        </is>
      </c>
      <c r="E164" t="inlineStr">
        <is>
          <t>Netherlands</t>
        </is>
      </c>
      <c r="F164" t="inlineStr">
        <is>
          <t>1,154.36</t>
        </is>
      </c>
      <c r="G164" t="inlineStr">
        <is>
          <t>16,000</t>
        </is>
      </c>
      <c r="H164" t="inlineStr">
        <is>
          <t>Kg</t>
        </is>
      </c>
      <c r="I164">
        <f>VALUE(SUBSTITUTE(F164,",",""))*1000</f>
        <v/>
      </c>
      <c r="J164">
        <f>VALUE(SUBSTITUTE(G164,",",""))</f>
        <v/>
      </c>
      <c r="K164">
        <f>E164="World"</f>
        <v/>
      </c>
      <c r="L164">
        <f>IF(J164=0,0,I164/J164)</f>
        <v/>
      </c>
      <c r="M164">
        <f>IF(K164,"",IF(E164="India","Re-import",IF(L164&lt;Lookups!$K$2,"Unit value below floor","")))</f>
        <v/>
      </c>
      <c r="N164">
        <f>IF(AND(NOT(K164),M164=""),1,0)</f>
        <v/>
      </c>
      <c r="O164">
        <f>SUMIFS($I$2:$I$190,$B$2:$B$190,B164,$C$2:$C$190,C164,$N$2:$N$190,1)/SUMIFS($J$2:$J$190,$B$2:$B$190,B164,$C$2:$C$190,C164,$N$2:$N$190,1)</f>
        <v/>
      </c>
      <c r="P164">
        <f>IF(K164,"",IF(M164="Unit value below floor",I164/O164,J164))</f>
        <v/>
      </c>
      <c r="Q164">
        <f>IF(K164,"",P164/1000*VLOOKUP(C164,Lookups!$G$2:$H$3,2,FALSE))</f>
        <v/>
      </c>
    </row>
    <row r="165">
      <c r="A165" t="inlineStr">
        <is>
          <t>India</t>
        </is>
      </c>
      <c r="B165" t="n">
        <v>2022</v>
      </c>
      <c r="C165" t="inlineStr">
        <is>
          <t>282520</t>
        </is>
      </c>
      <c r="D165" t="inlineStr">
        <is>
          <t>Lithium oxide and hydroxide</t>
        </is>
      </c>
      <c r="E165" t="inlineStr">
        <is>
          <t>Korea, Rep.</t>
        </is>
      </c>
      <c r="F165" t="inlineStr">
        <is>
          <t>881.25</t>
        </is>
      </c>
      <c r="G165" t="inlineStr">
        <is>
          <t>20,000</t>
        </is>
      </c>
      <c r="H165" t="inlineStr">
        <is>
          <t>Kg</t>
        </is>
      </c>
      <c r="I165">
        <f>VALUE(SUBSTITUTE(F165,",",""))*1000</f>
        <v/>
      </c>
      <c r="J165">
        <f>VALUE(SUBSTITUTE(G165,",",""))</f>
        <v/>
      </c>
      <c r="K165">
        <f>E165="World"</f>
        <v/>
      </c>
      <c r="L165">
        <f>IF(J165=0,0,I165/J165)</f>
        <v/>
      </c>
      <c r="M165">
        <f>IF(K165,"",IF(E165="India","Re-import",IF(L165&lt;Lookups!$K$2,"Unit value below floor","")))</f>
        <v/>
      </c>
      <c r="N165">
        <f>IF(AND(NOT(K165),M165=""),1,0)</f>
        <v/>
      </c>
      <c r="O165">
        <f>SUMIFS($I$2:$I$190,$B$2:$B$190,B165,$C$2:$C$190,C165,$N$2:$N$190,1)/SUMIFS($J$2:$J$190,$B$2:$B$190,B165,$C$2:$C$190,C165,$N$2:$N$190,1)</f>
        <v/>
      </c>
      <c r="P165">
        <f>IF(K165,"",IF(M165="Unit value below floor",I165/O165,J165))</f>
        <v/>
      </c>
      <c r="Q165">
        <f>IF(K165,"",P165/1000*VLOOKUP(C165,Lookups!$G$2:$H$3,2,FALSE))</f>
        <v/>
      </c>
    </row>
    <row r="166">
      <c r="A166" t="inlineStr">
        <is>
          <t>India</t>
        </is>
      </c>
      <c r="B166" t="n">
        <v>2022</v>
      </c>
      <c r="C166" t="inlineStr">
        <is>
          <t>282520</t>
        </is>
      </c>
      <c r="D166" t="inlineStr">
        <is>
          <t>Lithium oxide and hydroxide</t>
        </is>
      </c>
      <c r="E166" t="inlineStr">
        <is>
          <t>Germany</t>
        </is>
      </c>
      <c r="F166" t="inlineStr">
        <is>
          <t>638.86</t>
        </is>
      </c>
      <c r="G166" t="inlineStr">
        <is>
          <t>26,337</t>
        </is>
      </c>
      <c r="H166" t="inlineStr">
        <is>
          <t>Kg</t>
        </is>
      </c>
      <c r="I166">
        <f>VALUE(SUBSTITUTE(F166,",",""))*1000</f>
        <v/>
      </c>
      <c r="J166">
        <f>VALUE(SUBSTITUTE(G166,",",""))</f>
        <v/>
      </c>
      <c r="K166">
        <f>E166="World"</f>
        <v/>
      </c>
      <c r="L166">
        <f>IF(J166=0,0,I166/J166)</f>
        <v/>
      </c>
      <c r="M166">
        <f>IF(K166,"",IF(E166="India","Re-import",IF(L166&lt;Lookups!$K$2,"Unit value below floor","")))</f>
        <v/>
      </c>
      <c r="N166">
        <f>IF(AND(NOT(K166),M166=""),1,0)</f>
        <v/>
      </c>
      <c r="O166">
        <f>SUMIFS($I$2:$I$190,$B$2:$B$190,B166,$C$2:$C$190,C166,$N$2:$N$190,1)/SUMIFS($J$2:$J$190,$B$2:$B$190,B166,$C$2:$C$190,C166,$N$2:$N$190,1)</f>
        <v/>
      </c>
      <c r="P166">
        <f>IF(K166,"",IF(M166="Unit value below floor",I166/O166,J166))</f>
        <v/>
      </c>
      <c r="Q166">
        <f>IF(K166,"",P166/1000*VLOOKUP(C166,Lookups!$G$2:$H$3,2,FALSE))</f>
        <v/>
      </c>
    </row>
    <row r="167">
      <c r="A167" t="inlineStr">
        <is>
          <t>India</t>
        </is>
      </c>
      <c r="B167" t="n">
        <v>2022</v>
      </c>
      <c r="C167" t="inlineStr">
        <is>
          <t>282520</t>
        </is>
      </c>
      <c r="D167" t="inlineStr">
        <is>
          <t>Lithium oxide and hydroxide</t>
        </is>
      </c>
      <c r="E167" t="inlineStr">
        <is>
          <t>United Kingdom</t>
        </is>
      </c>
      <c r="F167" t="inlineStr">
        <is>
          <t>408.57</t>
        </is>
      </c>
      <c r="G167" t="inlineStr">
        <is>
          <t>16,004</t>
        </is>
      </c>
      <c r="H167" t="inlineStr">
        <is>
          <t>Kg</t>
        </is>
      </c>
      <c r="I167">
        <f>VALUE(SUBSTITUTE(F167,",",""))*1000</f>
        <v/>
      </c>
      <c r="J167">
        <f>VALUE(SUBSTITUTE(G167,",",""))</f>
        <v/>
      </c>
      <c r="K167">
        <f>E167="World"</f>
        <v/>
      </c>
      <c r="L167">
        <f>IF(J167=0,0,I167/J167)</f>
        <v/>
      </c>
      <c r="M167">
        <f>IF(K167,"",IF(E167="India","Re-import",IF(L167&lt;Lookups!$K$2,"Unit value below floor","")))</f>
        <v/>
      </c>
      <c r="N167">
        <f>IF(AND(NOT(K167),M167=""),1,0)</f>
        <v/>
      </c>
      <c r="O167">
        <f>SUMIFS($I$2:$I$190,$B$2:$B$190,B167,$C$2:$C$190,C167,$N$2:$N$190,1)/SUMIFS($J$2:$J$190,$B$2:$B$190,B167,$C$2:$C$190,C167,$N$2:$N$190,1)</f>
        <v/>
      </c>
      <c r="P167">
        <f>IF(K167,"",IF(M167="Unit value below floor",I167/O167,J167))</f>
        <v/>
      </c>
      <c r="Q167">
        <f>IF(K167,"",P167/1000*VLOOKUP(C167,Lookups!$G$2:$H$3,2,FALSE))</f>
        <v/>
      </c>
    </row>
    <row r="168">
      <c r="A168" t="inlineStr">
        <is>
          <t>India</t>
        </is>
      </c>
      <c r="B168" t="n">
        <v>2022</v>
      </c>
      <c r="C168" t="inlineStr">
        <is>
          <t>282520</t>
        </is>
      </c>
      <c r="D168" t="inlineStr">
        <is>
          <t>Lithium oxide and hydroxide</t>
        </is>
      </c>
      <c r="E168" t="inlineStr">
        <is>
          <t>United States</t>
        </is>
      </c>
      <c r="F168" t="inlineStr">
        <is>
          <t>85.34</t>
        </is>
      </c>
      <c r="G168" t="inlineStr">
        <is>
          <t>3,247</t>
        </is>
      </c>
      <c r="H168" t="inlineStr">
        <is>
          <t>Kg</t>
        </is>
      </c>
      <c r="I168">
        <f>VALUE(SUBSTITUTE(F168,",",""))*1000</f>
        <v/>
      </c>
      <c r="J168">
        <f>VALUE(SUBSTITUTE(G168,",",""))</f>
        <v/>
      </c>
      <c r="K168">
        <f>E168="World"</f>
        <v/>
      </c>
      <c r="L168">
        <f>IF(J168=0,0,I168/J168)</f>
        <v/>
      </c>
      <c r="M168">
        <f>IF(K168,"",IF(E168="India","Re-import",IF(L168&lt;Lookups!$K$2,"Unit value below floor","")))</f>
        <v/>
      </c>
      <c r="N168">
        <f>IF(AND(NOT(K168),M168=""),1,0)</f>
        <v/>
      </c>
      <c r="O168">
        <f>SUMIFS($I$2:$I$190,$B$2:$B$190,B168,$C$2:$C$190,C168,$N$2:$N$190,1)/SUMIFS($J$2:$J$190,$B$2:$B$190,B168,$C$2:$C$190,C168,$N$2:$N$190,1)</f>
        <v/>
      </c>
      <c r="P168">
        <f>IF(K168,"",IF(M168="Unit value below floor",I168/O168,J168))</f>
        <v/>
      </c>
      <c r="Q168">
        <f>IF(K168,"",P168/1000*VLOOKUP(C168,Lookups!$G$2:$H$3,2,FALSE))</f>
        <v/>
      </c>
    </row>
    <row r="169">
      <c r="A169" t="inlineStr">
        <is>
          <t>India</t>
        </is>
      </c>
      <c r="B169" t="n">
        <v>2022</v>
      </c>
      <c r="C169" t="inlineStr">
        <is>
          <t>282520</t>
        </is>
      </c>
      <c r="D169" t="inlineStr">
        <is>
          <t>Lithium oxide and hydroxide</t>
        </is>
      </c>
      <c r="E169" t="inlineStr">
        <is>
          <t>Kenya</t>
        </is>
      </c>
      <c r="F169" t="inlineStr">
        <is>
          <t>61.01</t>
        </is>
      </c>
      <c r="G169" t="inlineStr">
        <is>
          <t>3,220</t>
        </is>
      </c>
      <c r="H169" t="inlineStr">
        <is>
          <t>Kg</t>
        </is>
      </c>
      <c r="I169">
        <f>VALUE(SUBSTITUTE(F169,",",""))*1000</f>
        <v/>
      </c>
      <c r="J169">
        <f>VALUE(SUBSTITUTE(G169,",",""))</f>
        <v/>
      </c>
      <c r="K169">
        <f>E169="World"</f>
        <v/>
      </c>
      <c r="L169">
        <f>IF(J169=0,0,I169/J169)</f>
        <v/>
      </c>
      <c r="M169">
        <f>IF(K169,"",IF(E169="India","Re-import",IF(L169&lt;Lookups!$K$2,"Unit value below floor","")))</f>
        <v/>
      </c>
      <c r="N169">
        <f>IF(AND(NOT(K169),M169=""),1,0)</f>
        <v/>
      </c>
      <c r="O169">
        <f>SUMIFS($I$2:$I$190,$B$2:$B$190,B169,$C$2:$C$190,C169,$N$2:$N$190,1)/SUMIFS($J$2:$J$190,$B$2:$B$190,B169,$C$2:$C$190,C169,$N$2:$N$190,1)</f>
        <v/>
      </c>
      <c r="P169">
        <f>IF(K169,"",IF(M169="Unit value below floor",I169/O169,J169))</f>
        <v/>
      </c>
      <c r="Q169">
        <f>IF(K169,"",P169/1000*VLOOKUP(C169,Lookups!$G$2:$H$3,2,FALSE))</f>
        <v/>
      </c>
    </row>
    <row r="170">
      <c r="A170" t="inlineStr">
        <is>
          <t>India</t>
        </is>
      </c>
      <c r="B170" t="n">
        <v>2023</v>
      </c>
      <c r="C170" t="inlineStr">
        <is>
          <t>282520</t>
        </is>
      </c>
      <c r="D170" t="inlineStr">
        <is>
          <t>Lithium oxide and hydroxide</t>
        </is>
      </c>
      <c r="E170" t="inlineStr">
        <is>
          <t>World</t>
        </is>
      </c>
      <c r="F170" t="inlineStr">
        <is>
          <t>38,310.23</t>
        </is>
      </c>
      <c r="G170" t="inlineStr">
        <is>
          <t>1,055,300</t>
        </is>
      </c>
      <c r="H170" t="inlineStr">
        <is>
          <t>Kg</t>
        </is>
      </c>
      <c r="I170">
        <f>VALUE(SUBSTITUTE(F170,",",""))*1000</f>
        <v/>
      </c>
      <c r="J170">
        <f>VALUE(SUBSTITUTE(G170,",",""))</f>
        <v/>
      </c>
      <c r="K170">
        <f>E170="World"</f>
        <v/>
      </c>
      <c r="L170">
        <f>IF(J170=0,0,I170/J170)</f>
        <v/>
      </c>
      <c r="M170">
        <f>IF(K170,"",IF(E170="India","Re-import",IF(L170&lt;Lookups!$K$2,"Unit value below floor","")))</f>
        <v/>
      </c>
      <c r="N170">
        <f>IF(AND(NOT(K170),M170=""),1,0)</f>
        <v/>
      </c>
      <c r="O170">
        <f>SUMIFS($I$2:$I$190,$B$2:$B$190,B170,$C$2:$C$190,C170,$N$2:$N$190,1)/SUMIFS($J$2:$J$190,$B$2:$B$190,B170,$C$2:$C$190,C170,$N$2:$N$190,1)</f>
        <v/>
      </c>
      <c r="P170">
        <f>IF(K170,"",IF(M170="Unit value below floor",I170/O170,J170))</f>
        <v/>
      </c>
      <c r="Q170">
        <f>IF(K170,"",P170/1000*VLOOKUP(C170,Lookups!$G$2:$H$3,2,FALSE))</f>
        <v/>
      </c>
    </row>
    <row r="171">
      <c r="A171" t="inlineStr">
        <is>
          <t>India</t>
        </is>
      </c>
      <c r="B171" t="n">
        <v>2023</v>
      </c>
      <c r="C171" t="inlineStr">
        <is>
          <t>282520</t>
        </is>
      </c>
      <c r="D171" t="inlineStr">
        <is>
          <t>Lithium oxide and hydroxide</t>
        </is>
      </c>
      <c r="E171" t="inlineStr">
        <is>
          <t>Russian Federation</t>
        </is>
      </c>
      <c r="F171" t="inlineStr">
        <is>
          <t>29,335.57</t>
        </is>
      </c>
      <c r="G171" t="inlineStr">
        <is>
          <t>758,352</t>
        </is>
      </c>
      <c r="H171" t="inlineStr">
        <is>
          <t>Kg</t>
        </is>
      </c>
      <c r="I171">
        <f>VALUE(SUBSTITUTE(F171,",",""))*1000</f>
        <v/>
      </c>
      <c r="J171">
        <f>VALUE(SUBSTITUTE(G171,",",""))</f>
        <v/>
      </c>
      <c r="K171">
        <f>E171="World"</f>
        <v/>
      </c>
      <c r="L171">
        <f>IF(J171=0,0,I171/J171)</f>
        <v/>
      </c>
      <c r="M171">
        <f>IF(K171,"",IF(E171="India","Re-import",IF(L171&lt;Lookups!$K$2,"Unit value below floor","")))</f>
        <v/>
      </c>
      <c r="N171">
        <f>IF(AND(NOT(K171),M171=""),1,0)</f>
        <v/>
      </c>
      <c r="O171">
        <f>SUMIFS($I$2:$I$190,$B$2:$B$190,B171,$C$2:$C$190,C171,$N$2:$N$190,1)/SUMIFS($J$2:$J$190,$B$2:$B$190,B171,$C$2:$C$190,C171,$N$2:$N$190,1)</f>
        <v/>
      </c>
      <c r="P171">
        <f>IF(K171,"",IF(M171="Unit value below floor",I171/O171,J171))</f>
        <v/>
      </c>
      <c r="Q171">
        <f>IF(K171,"",P171/1000*VLOOKUP(C171,Lookups!$G$2:$H$3,2,FALSE))</f>
        <v/>
      </c>
    </row>
    <row r="172">
      <c r="A172" t="inlineStr">
        <is>
          <t>India</t>
        </is>
      </c>
      <c r="B172" t="n">
        <v>2023</v>
      </c>
      <c r="C172" t="inlineStr">
        <is>
          <t>282520</t>
        </is>
      </c>
      <c r="D172" t="inlineStr">
        <is>
          <t>Lithium oxide and hydroxide</t>
        </is>
      </c>
      <c r="E172" t="inlineStr">
        <is>
          <t>China</t>
        </is>
      </c>
      <c r="F172" t="inlineStr">
        <is>
          <t>5,238.21</t>
        </is>
      </c>
      <c r="G172" t="inlineStr">
        <is>
          <t>174,756</t>
        </is>
      </c>
      <c r="H172" t="inlineStr">
        <is>
          <t>Kg</t>
        </is>
      </c>
      <c r="I172">
        <f>VALUE(SUBSTITUTE(F172,",",""))*1000</f>
        <v/>
      </c>
      <c r="J172">
        <f>VALUE(SUBSTITUTE(G172,",",""))</f>
        <v/>
      </c>
      <c r="K172">
        <f>E172="World"</f>
        <v/>
      </c>
      <c r="L172">
        <f>IF(J172=0,0,I172/J172)</f>
        <v/>
      </c>
      <c r="M172">
        <f>IF(K172,"",IF(E172="India","Re-import",IF(L172&lt;Lookups!$K$2,"Unit value below floor","")))</f>
        <v/>
      </c>
      <c r="N172">
        <f>IF(AND(NOT(K172),M172=""),1,0)</f>
        <v/>
      </c>
      <c r="O172">
        <f>SUMIFS($I$2:$I$190,$B$2:$B$190,B172,$C$2:$C$190,C172,$N$2:$N$190,1)/SUMIFS($J$2:$J$190,$B$2:$B$190,B172,$C$2:$C$190,C172,$N$2:$N$190,1)</f>
        <v/>
      </c>
      <c r="P172">
        <f>IF(K172,"",IF(M172="Unit value below floor",I172/O172,J172))</f>
        <v/>
      </c>
      <c r="Q172">
        <f>IF(K172,"",P172/1000*VLOOKUP(C172,Lookups!$G$2:$H$3,2,FALSE))</f>
        <v/>
      </c>
    </row>
    <row r="173">
      <c r="A173" t="inlineStr">
        <is>
          <t>India</t>
        </is>
      </c>
      <c r="B173" t="n">
        <v>2023</v>
      </c>
      <c r="C173" t="inlineStr">
        <is>
          <t>282520</t>
        </is>
      </c>
      <c r="D173" t="inlineStr">
        <is>
          <t>Lithium oxide and hydroxide</t>
        </is>
      </c>
      <c r="E173" t="inlineStr">
        <is>
          <t>Germany</t>
        </is>
      </c>
      <c r="F173" t="inlineStr">
        <is>
          <t>1,496.83</t>
        </is>
      </c>
      <c r="G173" t="inlineStr">
        <is>
          <t>38,649</t>
        </is>
      </c>
      <c r="H173" t="inlineStr">
        <is>
          <t>Kg</t>
        </is>
      </c>
      <c r="I173">
        <f>VALUE(SUBSTITUTE(F173,",",""))*1000</f>
        <v/>
      </c>
      <c r="J173">
        <f>VALUE(SUBSTITUTE(G173,",",""))</f>
        <v/>
      </c>
      <c r="K173">
        <f>E173="World"</f>
        <v/>
      </c>
      <c r="L173">
        <f>IF(J173=0,0,I173/J173)</f>
        <v/>
      </c>
      <c r="M173">
        <f>IF(K173,"",IF(E173="India","Re-import",IF(L173&lt;Lookups!$K$2,"Unit value below floor","")))</f>
        <v/>
      </c>
      <c r="N173">
        <f>IF(AND(NOT(K173),M173=""),1,0)</f>
        <v/>
      </c>
      <c r="O173">
        <f>SUMIFS($I$2:$I$190,$B$2:$B$190,B173,$C$2:$C$190,C173,$N$2:$N$190,1)/SUMIFS($J$2:$J$190,$B$2:$B$190,B173,$C$2:$C$190,C173,$N$2:$N$190,1)</f>
        <v/>
      </c>
      <c r="P173">
        <f>IF(K173,"",IF(M173="Unit value below floor",I173/O173,J173))</f>
        <v/>
      </c>
      <c r="Q173">
        <f>IF(K173,"",P173/1000*VLOOKUP(C173,Lookups!$G$2:$H$3,2,FALSE))</f>
        <v/>
      </c>
    </row>
    <row r="174">
      <c r="A174" t="inlineStr">
        <is>
          <t>India</t>
        </is>
      </c>
      <c r="B174" t="n">
        <v>2023</v>
      </c>
      <c r="C174" t="inlineStr">
        <is>
          <t>282520</t>
        </is>
      </c>
      <c r="D174" t="inlineStr">
        <is>
          <t>Lithium oxide and hydroxide</t>
        </is>
      </c>
      <c r="E174" t="inlineStr">
        <is>
          <t>United States</t>
        </is>
      </c>
      <c r="F174" t="inlineStr">
        <is>
          <t>988.61</t>
        </is>
      </c>
      <c r="G174" t="inlineStr">
        <is>
          <t>35,530</t>
        </is>
      </c>
      <c r="H174" t="inlineStr">
        <is>
          <t>Kg</t>
        </is>
      </c>
      <c r="I174">
        <f>VALUE(SUBSTITUTE(F174,",",""))*1000</f>
        <v/>
      </c>
      <c r="J174">
        <f>VALUE(SUBSTITUTE(G174,",",""))</f>
        <v/>
      </c>
      <c r="K174">
        <f>E174="World"</f>
        <v/>
      </c>
      <c r="L174">
        <f>IF(J174=0,0,I174/J174)</f>
        <v/>
      </c>
      <c r="M174">
        <f>IF(K174,"",IF(E174="India","Re-import",IF(L174&lt;Lookups!$K$2,"Unit value below floor","")))</f>
        <v/>
      </c>
      <c r="N174">
        <f>IF(AND(NOT(K174),M174=""),1,0)</f>
        <v/>
      </c>
      <c r="O174">
        <f>SUMIFS($I$2:$I$190,$B$2:$B$190,B174,$C$2:$C$190,C174,$N$2:$N$190,1)/SUMIFS($J$2:$J$190,$B$2:$B$190,B174,$C$2:$C$190,C174,$N$2:$N$190,1)</f>
        <v/>
      </c>
      <c r="P174">
        <f>IF(K174,"",IF(M174="Unit value below floor",I174/O174,J174))</f>
        <v/>
      </c>
      <c r="Q174">
        <f>IF(K174,"",P174/1000*VLOOKUP(C174,Lookups!$G$2:$H$3,2,FALSE))</f>
        <v/>
      </c>
    </row>
    <row r="175">
      <c r="A175" t="inlineStr">
        <is>
          <t>India</t>
        </is>
      </c>
      <c r="B175" t="n">
        <v>2023</v>
      </c>
      <c r="C175" t="inlineStr">
        <is>
          <t>282520</t>
        </is>
      </c>
      <c r="D175" t="inlineStr">
        <is>
          <t>Lithium oxide and hydroxide</t>
        </is>
      </c>
      <c r="E175" t="inlineStr">
        <is>
          <t>Chile</t>
        </is>
      </c>
      <c r="F175" t="inlineStr">
        <is>
          <t>856.77</t>
        </is>
      </c>
      <c r="G175" t="inlineStr">
        <is>
          <t>38,000</t>
        </is>
      </c>
      <c r="H175" t="inlineStr">
        <is>
          <t>Kg</t>
        </is>
      </c>
      <c r="I175">
        <f>VALUE(SUBSTITUTE(F175,",",""))*1000</f>
        <v/>
      </c>
      <c r="J175">
        <f>VALUE(SUBSTITUTE(G175,",",""))</f>
        <v/>
      </c>
      <c r="K175">
        <f>E175="World"</f>
        <v/>
      </c>
      <c r="L175">
        <f>IF(J175=0,0,I175/J175)</f>
        <v/>
      </c>
      <c r="M175">
        <f>IF(K175,"",IF(E175="India","Re-import",IF(L175&lt;Lookups!$K$2,"Unit value below floor","")))</f>
        <v/>
      </c>
      <c r="N175">
        <f>IF(AND(NOT(K175),M175=""),1,0)</f>
        <v/>
      </c>
      <c r="O175">
        <f>SUMIFS($I$2:$I$190,$B$2:$B$190,B175,$C$2:$C$190,C175,$N$2:$N$190,1)/SUMIFS($J$2:$J$190,$B$2:$B$190,B175,$C$2:$C$190,C175,$N$2:$N$190,1)</f>
        <v/>
      </c>
      <c r="P175">
        <f>IF(K175,"",IF(M175="Unit value below floor",I175/O175,J175))</f>
        <v/>
      </c>
      <c r="Q175">
        <f>IF(K175,"",P175/1000*VLOOKUP(C175,Lookups!$G$2:$H$3,2,FALSE))</f>
        <v/>
      </c>
    </row>
    <row r="176">
      <c r="A176" t="inlineStr">
        <is>
          <t>India</t>
        </is>
      </c>
      <c r="B176" t="n">
        <v>2023</v>
      </c>
      <c r="C176" t="inlineStr">
        <is>
          <t>282520</t>
        </is>
      </c>
      <c r="D176" t="inlineStr">
        <is>
          <t>Lithium oxide and hydroxide</t>
        </is>
      </c>
      <c r="E176" t="inlineStr">
        <is>
          <t>Belgium</t>
        </is>
      </c>
      <c r="F176" t="inlineStr">
        <is>
          <t>391.29</t>
        </is>
      </c>
      <c r="G176" t="inlineStr">
        <is>
          <t>10,000</t>
        </is>
      </c>
      <c r="H176" t="inlineStr">
        <is>
          <t>Kg</t>
        </is>
      </c>
      <c r="I176">
        <f>VALUE(SUBSTITUTE(F176,",",""))*1000</f>
        <v/>
      </c>
      <c r="J176">
        <f>VALUE(SUBSTITUTE(G176,",",""))</f>
        <v/>
      </c>
      <c r="K176">
        <f>E176="World"</f>
        <v/>
      </c>
      <c r="L176">
        <f>IF(J176=0,0,I176/J176)</f>
        <v/>
      </c>
      <c r="M176">
        <f>IF(K176,"",IF(E176="India","Re-import",IF(L176&lt;Lookups!$K$2,"Unit value below floor","")))</f>
        <v/>
      </c>
      <c r="N176">
        <f>IF(AND(NOT(K176),M176=""),1,0)</f>
        <v/>
      </c>
      <c r="O176">
        <f>SUMIFS($I$2:$I$190,$B$2:$B$190,B176,$C$2:$C$190,C176,$N$2:$N$190,1)/SUMIFS($J$2:$J$190,$B$2:$B$190,B176,$C$2:$C$190,C176,$N$2:$N$190,1)</f>
        <v/>
      </c>
      <c r="P176">
        <f>IF(K176,"",IF(M176="Unit value below floor",I176/O176,J176))</f>
        <v/>
      </c>
      <c r="Q176">
        <f>IF(K176,"",P176/1000*VLOOKUP(C176,Lookups!$G$2:$H$3,2,FALSE))</f>
        <v/>
      </c>
    </row>
    <row r="177">
      <c r="A177" t="inlineStr">
        <is>
          <t>India</t>
        </is>
      </c>
      <c r="B177" t="n">
        <v>2023</v>
      </c>
      <c r="C177" t="inlineStr">
        <is>
          <t>282520</t>
        </is>
      </c>
      <c r="D177" t="inlineStr">
        <is>
          <t>Lithium oxide and hydroxide</t>
        </is>
      </c>
      <c r="E177" t="inlineStr">
        <is>
          <t>Japan</t>
        </is>
      </c>
      <c r="F177" t="inlineStr">
        <is>
          <t>2.61</t>
        </is>
      </c>
      <c r="G177" t="inlineStr">
        <is>
          <t>9</t>
        </is>
      </c>
      <c r="H177" t="inlineStr">
        <is>
          <t>Kg</t>
        </is>
      </c>
      <c r="I177">
        <f>VALUE(SUBSTITUTE(F177,",",""))*1000</f>
        <v/>
      </c>
      <c r="J177">
        <f>VALUE(SUBSTITUTE(G177,",",""))</f>
        <v/>
      </c>
      <c r="K177">
        <f>E177="World"</f>
        <v/>
      </c>
      <c r="L177">
        <f>IF(J177=0,0,I177/J177)</f>
        <v/>
      </c>
      <c r="M177">
        <f>IF(K177,"",IF(E177="India","Re-import",IF(L177&lt;Lookups!$K$2,"Unit value below floor","")))</f>
        <v/>
      </c>
      <c r="N177">
        <f>IF(AND(NOT(K177),M177=""),1,0)</f>
        <v/>
      </c>
      <c r="O177">
        <f>SUMIFS($I$2:$I$190,$B$2:$B$190,B177,$C$2:$C$190,C177,$N$2:$N$190,1)/SUMIFS($J$2:$J$190,$B$2:$B$190,B177,$C$2:$C$190,C177,$N$2:$N$190,1)</f>
        <v/>
      </c>
      <c r="P177">
        <f>IF(K177,"",IF(M177="Unit value below floor",I177/O177,J177))</f>
        <v/>
      </c>
      <c r="Q177">
        <f>IF(K177,"",P177/1000*VLOOKUP(C177,Lookups!$G$2:$H$3,2,FALSE))</f>
        <v/>
      </c>
    </row>
    <row r="178">
      <c r="A178" t="inlineStr">
        <is>
          <t>India</t>
        </is>
      </c>
      <c r="B178" t="n">
        <v>2023</v>
      </c>
      <c r="C178" t="inlineStr">
        <is>
          <t>282520</t>
        </is>
      </c>
      <c r="D178" t="inlineStr">
        <is>
          <t>Lithium oxide and hydroxide</t>
        </is>
      </c>
      <c r="E178" t="inlineStr">
        <is>
          <t>United Kingdom</t>
        </is>
      </c>
      <c r="F178" t="inlineStr">
        <is>
          <t>0.35</t>
        </is>
      </c>
      <c r="G178" t="inlineStr">
        <is>
          <t>2</t>
        </is>
      </c>
      <c r="H178" t="inlineStr">
        <is>
          <t>Kg</t>
        </is>
      </c>
      <c r="I178">
        <f>VALUE(SUBSTITUTE(F178,",",""))*1000</f>
        <v/>
      </c>
      <c r="J178">
        <f>VALUE(SUBSTITUTE(G178,",",""))</f>
        <v/>
      </c>
      <c r="K178">
        <f>E178="World"</f>
        <v/>
      </c>
      <c r="L178">
        <f>IF(J178=0,0,I178/J178)</f>
        <v/>
      </c>
      <c r="M178">
        <f>IF(K178,"",IF(E178="India","Re-import",IF(L178&lt;Lookups!$K$2,"Unit value below floor","")))</f>
        <v/>
      </c>
      <c r="N178">
        <f>IF(AND(NOT(K178),M178=""),1,0)</f>
        <v/>
      </c>
      <c r="O178">
        <f>SUMIFS($I$2:$I$190,$B$2:$B$190,B178,$C$2:$C$190,C178,$N$2:$N$190,1)/SUMIFS($J$2:$J$190,$B$2:$B$190,B178,$C$2:$C$190,C178,$N$2:$N$190,1)</f>
        <v/>
      </c>
      <c r="P178">
        <f>IF(K178,"",IF(M178="Unit value below floor",I178/O178,J178))</f>
        <v/>
      </c>
      <c r="Q178">
        <f>IF(K178,"",P178/1000*VLOOKUP(C178,Lookups!$G$2:$H$3,2,FALSE))</f>
        <v/>
      </c>
    </row>
    <row r="179">
      <c r="A179" t="inlineStr">
        <is>
          <t>India</t>
        </is>
      </c>
      <c r="B179" t="n">
        <v>2024</v>
      </c>
      <c r="C179" t="inlineStr">
        <is>
          <t>282520</t>
        </is>
      </c>
      <c r="D179" t="inlineStr">
        <is>
          <t>Lithium oxide and hydroxide</t>
        </is>
      </c>
      <c r="E179" t="inlineStr">
        <is>
          <t>World</t>
        </is>
      </c>
      <c r="F179" t="inlineStr">
        <is>
          <t>22,404.92</t>
        </is>
      </c>
      <c r="G179" t="inlineStr">
        <is>
          <t>1,730,020</t>
        </is>
      </c>
      <c r="H179" t="inlineStr">
        <is>
          <t>Kg</t>
        </is>
      </c>
      <c r="I179">
        <f>VALUE(SUBSTITUTE(F179,",",""))*1000</f>
        <v/>
      </c>
      <c r="J179">
        <f>VALUE(SUBSTITUTE(G179,",",""))</f>
        <v/>
      </c>
      <c r="K179">
        <f>E179="World"</f>
        <v/>
      </c>
      <c r="L179">
        <f>IF(J179=0,0,I179/J179)</f>
        <v/>
      </c>
      <c r="M179">
        <f>IF(K179,"",IF(E179="India","Re-import",IF(L179&lt;Lookups!$K$2,"Unit value below floor","")))</f>
        <v/>
      </c>
      <c r="N179">
        <f>IF(AND(NOT(K179),M179=""),1,0)</f>
        <v/>
      </c>
      <c r="O179">
        <f>SUMIFS($I$2:$I$190,$B$2:$B$190,B179,$C$2:$C$190,C179,$N$2:$N$190,1)/SUMIFS($J$2:$J$190,$B$2:$B$190,B179,$C$2:$C$190,C179,$N$2:$N$190,1)</f>
        <v/>
      </c>
      <c r="P179">
        <f>IF(K179,"",IF(M179="Unit value below floor",I179/O179,J179))</f>
        <v/>
      </c>
      <c r="Q179">
        <f>IF(K179,"",P179/1000*VLOOKUP(C179,Lookups!$G$2:$H$3,2,FALSE))</f>
        <v/>
      </c>
    </row>
    <row r="180">
      <c r="A180" t="inlineStr">
        <is>
          <t>India</t>
        </is>
      </c>
      <c r="B180" t="n">
        <v>2024</v>
      </c>
      <c r="C180" t="inlineStr">
        <is>
          <t>282520</t>
        </is>
      </c>
      <c r="D180" t="inlineStr">
        <is>
          <t>Lithium oxide and hydroxide</t>
        </is>
      </c>
      <c r="E180" t="inlineStr">
        <is>
          <t>China</t>
        </is>
      </c>
      <c r="F180" t="inlineStr">
        <is>
          <t>8,831.71</t>
        </is>
      </c>
      <c r="G180" t="inlineStr">
        <is>
          <t>652,841</t>
        </is>
      </c>
      <c r="H180" t="inlineStr">
        <is>
          <t>Kg</t>
        </is>
      </c>
      <c r="I180">
        <f>VALUE(SUBSTITUTE(F180,",",""))*1000</f>
        <v/>
      </c>
      <c r="J180">
        <f>VALUE(SUBSTITUTE(G180,",",""))</f>
        <v/>
      </c>
      <c r="K180">
        <f>E180="World"</f>
        <v/>
      </c>
      <c r="L180">
        <f>IF(J180=0,0,I180/J180)</f>
        <v/>
      </c>
      <c r="M180">
        <f>IF(K180,"",IF(E180="India","Re-import",IF(L180&lt;Lookups!$K$2,"Unit value below floor","")))</f>
        <v/>
      </c>
      <c r="N180">
        <f>IF(AND(NOT(K180),M180=""),1,0)</f>
        <v/>
      </c>
      <c r="O180">
        <f>SUMIFS($I$2:$I$190,$B$2:$B$190,B180,$C$2:$C$190,C180,$N$2:$N$190,1)/SUMIFS($J$2:$J$190,$B$2:$B$190,B180,$C$2:$C$190,C180,$N$2:$N$190,1)</f>
        <v/>
      </c>
      <c r="P180">
        <f>IF(K180,"",IF(M180="Unit value below floor",I180/O180,J180))</f>
        <v/>
      </c>
      <c r="Q180">
        <f>IF(K180,"",P180/1000*VLOOKUP(C180,Lookups!$G$2:$H$3,2,FALSE))</f>
        <v/>
      </c>
    </row>
    <row r="181">
      <c r="A181" t="inlineStr">
        <is>
          <t>India</t>
        </is>
      </c>
      <c r="B181" t="n">
        <v>2024</v>
      </c>
      <c r="C181" t="inlineStr">
        <is>
          <t>282520</t>
        </is>
      </c>
      <c r="D181" t="inlineStr">
        <is>
          <t>Lithium oxide and hydroxide</t>
        </is>
      </c>
      <c r="E181" t="inlineStr">
        <is>
          <t>Chile</t>
        </is>
      </c>
      <c r="F181" t="inlineStr">
        <is>
          <t>7,127.69</t>
        </is>
      </c>
      <c r="G181" t="inlineStr">
        <is>
          <t>636,000</t>
        </is>
      </c>
      <c r="H181" t="inlineStr">
        <is>
          <t>Kg</t>
        </is>
      </c>
      <c r="I181">
        <f>VALUE(SUBSTITUTE(F181,",",""))*1000</f>
        <v/>
      </c>
      <c r="J181">
        <f>VALUE(SUBSTITUTE(G181,",",""))</f>
        <v/>
      </c>
      <c r="K181">
        <f>E181="World"</f>
        <v/>
      </c>
      <c r="L181">
        <f>IF(J181=0,0,I181/J181)</f>
        <v/>
      </c>
      <c r="M181">
        <f>IF(K181,"",IF(E181="India","Re-import",IF(L181&lt;Lookups!$K$2,"Unit value below floor","")))</f>
        <v/>
      </c>
      <c r="N181">
        <f>IF(AND(NOT(K181),M181=""),1,0)</f>
        <v/>
      </c>
      <c r="O181">
        <f>SUMIFS($I$2:$I$190,$B$2:$B$190,B181,$C$2:$C$190,C181,$N$2:$N$190,1)/SUMIFS($J$2:$J$190,$B$2:$B$190,B181,$C$2:$C$190,C181,$N$2:$N$190,1)</f>
        <v/>
      </c>
      <c r="P181">
        <f>IF(K181,"",IF(M181="Unit value below floor",I181/O181,J181))</f>
        <v/>
      </c>
      <c r="Q181">
        <f>IF(K181,"",P181/1000*VLOOKUP(C181,Lookups!$G$2:$H$3,2,FALSE))</f>
        <v/>
      </c>
    </row>
    <row r="182">
      <c r="A182" t="inlineStr">
        <is>
          <t>India</t>
        </is>
      </c>
      <c r="B182" t="n">
        <v>2024</v>
      </c>
      <c r="C182" t="inlineStr">
        <is>
          <t>282520</t>
        </is>
      </c>
      <c r="D182" t="inlineStr">
        <is>
          <t>Lithium oxide and hydroxide</t>
        </is>
      </c>
      <c r="E182" t="inlineStr">
        <is>
          <t>Russian Federation</t>
        </is>
      </c>
      <c r="F182" t="inlineStr">
        <is>
          <t>3,580.78</t>
        </is>
      </c>
      <c r="G182" t="inlineStr">
        <is>
          <t>236,000</t>
        </is>
      </c>
      <c r="H182" t="inlineStr">
        <is>
          <t>Kg</t>
        </is>
      </c>
      <c r="I182">
        <f>VALUE(SUBSTITUTE(F182,",",""))*1000</f>
        <v/>
      </c>
      <c r="J182">
        <f>VALUE(SUBSTITUTE(G182,",",""))</f>
        <v/>
      </c>
      <c r="K182">
        <f>E182="World"</f>
        <v/>
      </c>
      <c r="L182">
        <f>IF(J182=0,0,I182/J182)</f>
        <v/>
      </c>
      <c r="M182">
        <f>IF(K182,"",IF(E182="India","Re-import",IF(L182&lt;Lookups!$K$2,"Unit value below floor","")))</f>
        <v/>
      </c>
      <c r="N182">
        <f>IF(AND(NOT(K182),M182=""),1,0)</f>
        <v/>
      </c>
      <c r="O182">
        <f>SUMIFS($I$2:$I$190,$B$2:$B$190,B182,$C$2:$C$190,C182,$N$2:$N$190,1)/SUMIFS($J$2:$J$190,$B$2:$B$190,B182,$C$2:$C$190,C182,$N$2:$N$190,1)</f>
        <v/>
      </c>
      <c r="P182">
        <f>IF(K182,"",IF(M182="Unit value below floor",I182/O182,J182))</f>
        <v/>
      </c>
      <c r="Q182">
        <f>IF(K182,"",P182/1000*VLOOKUP(C182,Lookups!$G$2:$H$3,2,FALSE))</f>
        <v/>
      </c>
    </row>
    <row r="183">
      <c r="A183" t="inlineStr">
        <is>
          <t>India</t>
        </is>
      </c>
      <c r="B183" t="n">
        <v>2024</v>
      </c>
      <c r="C183" t="inlineStr">
        <is>
          <t>282520</t>
        </is>
      </c>
      <c r="D183" t="inlineStr">
        <is>
          <t>Lithium oxide and hydroxide</t>
        </is>
      </c>
      <c r="E183" t="inlineStr">
        <is>
          <t>Japan</t>
        </is>
      </c>
      <c r="F183" t="inlineStr">
        <is>
          <t>1,405.48</t>
        </is>
      </c>
      <c r="G183" t="inlineStr">
        <is>
          <t>103,889</t>
        </is>
      </c>
      <c r="H183" t="inlineStr">
        <is>
          <t>Kg</t>
        </is>
      </c>
      <c r="I183">
        <f>VALUE(SUBSTITUTE(F183,",",""))*1000</f>
        <v/>
      </c>
      <c r="J183">
        <f>VALUE(SUBSTITUTE(G183,",",""))</f>
        <v/>
      </c>
      <c r="K183">
        <f>E183="World"</f>
        <v/>
      </c>
      <c r="L183">
        <f>IF(J183=0,0,I183/J183)</f>
        <v/>
      </c>
      <c r="M183">
        <f>IF(K183,"",IF(E183="India","Re-import",IF(L183&lt;Lookups!$K$2,"Unit value below floor","")))</f>
        <v/>
      </c>
      <c r="N183">
        <f>IF(AND(NOT(K183),M183=""),1,0)</f>
        <v/>
      </c>
      <c r="O183">
        <f>SUMIFS($I$2:$I$190,$B$2:$B$190,B183,$C$2:$C$190,C183,$N$2:$N$190,1)/SUMIFS($J$2:$J$190,$B$2:$B$190,B183,$C$2:$C$190,C183,$N$2:$N$190,1)</f>
        <v/>
      </c>
      <c r="P183">
        <f>IF(K183,"",IF(M183="Unit value below floor",I183/O183,J183))</f>
        <v/>
      </c>
      <c r="Q183">
        <f>IF(K183,"",P183/1000*VLOOKUP(C183,Lookups!$G$2:$H$3,2,FALSE))</f>
        <v/>
      </c>
    </row>
    <row r="184">
      <c r="A184" t="inlineStr">
        <is>
          <t>India</t>
        </is>
      </c>
      <c r="B184" t="n">
        <v>2024</v>
      </c>
      <c r="C184" t="inlineStr">
        <is>
          <t>282520</t>
        </is>
      </c>
      <c r="D184" t="inlineStr">
        <is>
          <t>Lithium oxide and hydroxide</t>
        </is>
      </c>
      <c r="E184" t="inlineStr">
        <is>
          <t>Germany</t>
        </is>
      </c>
      <c r="F184" t="inlineStr">
        <is>
          <t>665.94</t>
        </is>
      </c>
      <c r="G184" t="inlineStr">
        <is>
          <t>18,328</t>
        </is>
      </c>
      <c r="H184" t="inlineStr">
        <is>
          <t>Kg</t>
        </is>
      </c>
      <c r="I184">
        <f>VALUE(SUBSTITUTE(F184,",",""))*1000</f>
        <v/>
      </c>
      <c r="J184">
        <f>VALUE(SUBSTITUTE(G184,",",""))</f>
        <v/>
      </c>
      <c r="K184">
        <f>E184="World"</f>
        <v/>
      </c>
      <c r="L184">
        <f>IF(J184=0,0,I184/J184)</f>
        <v/>
      </c>
      <c r="M184">
        <f>IF(K184,"",IF(E184="India","Re-import",IF(L184&lt;Lookups!$K$2,"Unit value below floor","")))</f>
        <v/>
      </c>
      <c r="N184">
        <f>IF(AND(NOT(K184),M184=""),1,0)</f>
        <v/>
      </c>
      <c r="O184">
        <f>SUMIFS($I$2:$I$190,$B$2:$B$190,B184,$C$2:$C$190,C184,$N$2:$N$190,1)/SUMIFS($J$2:$J$190,$B$2:$B$190,B184,$C$2:$C$190,C184,$N$2:$N$190,1)</f>
        <v/>
      </c>
      <c r="P184">
        <f>IF(K184,"",IF(M184="Unit value below floor",I184/O184,J184))</f>
        <v/>
      </c>
      <c r="Q184">
        <f>IF(K184,"",P184/1000*VLOOKUP(C184,Lookups!$G$2:$H$3,2,FALSE))</f>
        <v/>
      </c>
    </row>
    <row r="185">
      <c r="A185" t="inlineStr">
        <is>
          <t>India</t>
        </is>
      </c>
      <c r="B185" t="n">
        <v>2024</v>
      </c>
      <c r="C185" t="inlineStr">
        <is>
          <t>282520</t>
        </is>
      </c>
      <c r="D185" t="inlineStr">
        <is>
          <t>Lithium oxide and hydroxide</t>
        </is>
      </c>
      <c r="E185" t="inlineStr">
        <is>
          <t>United States</t>
        </is>
      </c>
      <c r="F185" t="inlineStr">
        <is>
          <t>522.09</t>
        </is>
      </c>
      <c r="G185" t="inlineStr">
        <is>
          <t>38,816</t>
        </is>
      </c>
      <c r="H185" t="inlineStr">
        <is>
          <t>Kg</t>
        </is>
      </c>
      <c r="I185">
        <f>VALUE(SUBSTITUTE(F185,",",""))*1000</f>
        <v/>
      </c>
      <c r="J185">
        <f>VALUE(SUBSTITUTE(G185,",",""))</f>
        <v/>
      </c>
      <c r="K185">
        <f>E185="World"</f>
        <v/>
      </c>
      <c r="L185">
        <f>IF(J185=0,0,I185/J185)</f>
        <v/>
      </c>
      <c r="M185">
        <f>IF(K185,"",IF(E185="India","Re-import",IF(L185&lt;Lookups!$K$2,"Unit value below floor","")))</f>
        <v/>
      </c>
      <c r="N185">
        <f>IF(AND(NOT(K185),M185=""),1,0)</f>
        <v/>
      </c>
      <c r="O185">
        <f>SUMIFS($I$2:$I$190,$B$2:$B$190,B185,$C$2:$C$190,C185,$N$2:$N$190,1)/SUMIFS($J$2:$J$190,$B$2:$B$190,B185,$C$2:$C$190,C185,$N$2:$N$190,1)</f>
        <v/>
      </c>
      <c r="P185">
        <f>IF(K185,"",IF(M185="Unit value below floor",I185/O185,J185))</f>
        <v/>
      </c>
      <c r="Q185">
        <f>IF(K185,"",P185/1000*VLOOKUP(C185,Lookups!$G$2:$H$3,2,FALSE))</f>
        <v/>
      </c>
    </row>
    <row r="186">
      <c r="A186" t="inlineStr">
        <is>
          <t>India</t>
        </is>
      </c>
      <c r="B186" t="n">
        <v>2024</v>
      </c>
      <c r="C186" t="inlineStr">
        <is>
          <t>282520</t>
        </is>
      </c>
      <c r="D186" t="inlineStr">
        <is>
          <t>Lithium oxide and hydroxide</t>
        </is>
      </c>
      <c r="E186" t="inlineStr">
        <is>
          <t>Belgium</t>
        </is>
      </c>
      <c r="F186" t="inlineStr">
        <is>
          <t>258.05</t>
        </is>
      </c>
      <c r="G186" t="inlineStr">
        <is>
          <t>20,000</t>
        </is>
      </c>
      <c r="H186" t="inlineStr">
        <is>
          <t>Kg</t>
        </is>
      </c>
      <c r="I186">
        <f>VALUE(SUBSTITUTE(F186,",",""))*1000</f>
        <v/>
      </c>
      <c r="J186">
        <f>VALUE(SUBSTITUTE(G186,",",""))</f>
        <v/>
      </c>
      <c r="K186">
        <f>E186="World"</f>
        <v/>
      </c>
      <c r="L186">
        <f>IF(J186=0,0,I186/J186)</f>
        <v/>
      </c>
      <c r="M186">
        <f>IF(K186,"",IF(E186="India","Re-import",IF(L186&lt;Lookups!$K$2,"Unit value below floor","")))</f>
        <v/>
      </c>
      <c r="N186">
        <f>IF(AND(NOT(K186),M186=""),1,0)</f>
        <v/>
      </c>
      <c r="O186">
        <f>SUMIFS($I$2:$I$190,$B$2:$B$190,B186,$C$2:$C$190,C186,$N$2:$N$190,1)/SUMIFS($J$2:$J$190,$B$2:$B$190,B186,$C$2:$C$190,C186,$N$2:$N$190,1)</f>
        <v/>
      </c>
      <c r="P186">
        <f>IF(K186,"",IF(M186="Unit value below floor",I186/O186,J186))</f>
        <v/>
      </c>
      <c r="Q186">
        <f>IF(K186,"",P186/1000*VLOOKUP(C186,Lookups!$G$2:$H$3,2,FALSE))</f>
        <v/>
      </c>
    </row>
    <row r="187">
      <c r="A187" t="inlineStr">
        <is>
          <t>India</t>
        </is>
      </c>
      <c r="B187" t="n">
        <v>2024</v>
      </c>
      <c r="C187" t="inlineStr">
        <is>
          <t>282520</t>
        </is>
      </c>
      <c r="D187" t="inlineStr">
        <is>
          <t>Lithium oxide and hydroxide</t>
        </is>
      </c>
      <c r="E187" t="inlineStr">
        <is>
          <t>Burundi</t>
        </is>
      </c>
      <c r="F187" t="inlineStr">
        <is>
          <t>10.65</t>
        </is>
      </c>
      <c r="G187" t="inlineStr">
        <is>
          <t>24,000</t>
        </is>
      </c>
      <c r="H187" t="inlineStr">
        <is>
          <t>Kg</t>
        </is>
      </c>
      <c r="I187">
        <f>VALUE(SUBSTITUTE(F187,",",""))*1000</f>
        <v/>
      </c>
      <c r="J187">
        <f>VALUE(SUBSTITUTE(G187,",",""))</f>
        <v/>
      </c>
      <c r="K187">
        <f>E187="World"</f>
        <v/>
      </c>
      <c r="L187">
        <f>IF(J187=0,0,I187/J187)</f>
        <v/>
      </c>
      <c r="M187">
        <f>IF(K187,"",IF(E187="India","Re-import",IF(L187&lt;Lookups!$K$2,"Unit value below floor","")))</f>
        <v/>
      </c>
      <c r="N187">
        <f>IF(AND(NOT(K187),M187=""),1,0)</f>
        <v/>
      </c>
      <c r="O187">
        <f>SUMIFS($I$2:$I$190,$B$2:$B$190,B187,$C$2:$C$190,C187,$N$2:$N$190,1)/SUMIFS($J$2:$J$190,$B$2:$B$190,B187,$C$2:$C$190,C187,$N$2:$N$190,1)</f>
        <v/>
      </c>
      <c r="P187">
        <f>IF(K187,"",IF(M187="Unit value below floor",I187/O187,J187))</f>
        <v/>
      </c>
      <c r="Q187">
        <f>IF(K187,"",P187/1000*VLOOKUP(C187,Lookups!$G$2:$H$3,2,FALSE))</f>
        <v/>
      </c>
    </row>
    <row r="188">
      <c r="A188" t="inlineStr">
        <is>
          <t>India</t>
        </is>
      </c>
      <c r="B188" t="n">
        <v>2024</v>
      </c>
      <c r="C188" t="inlineStr">
        <is>
          <t>282520</t>
        </is>
      </c>
      <c r="D188" t="inlineStr">
        <is>
          <t>Lithium oxide and hydroxide</t>
        </is>
      </c>
      <c r="E188" t="inlineStr">
        <is>
          <t>United Kingdom</t>
        </is>
      </c>
      <c r="F188" t="inlineStr">
        <is>
          <t>1.38</t>
        </is>
      </c>
      <c r="G188" t="inlineStr">
        <is>
          <t>125</t>
        </is>
      </c>
      <c r="H188" t="inlineStr">
        <is>
          <t>Kg</t>
        </is>
      </c>
      <c r="I188">
        <f>VALUE(SUBSTITUTE(F188,",",""))*1000</f>
        <v/>
      </c>
      <c r="J188">
        <f>VALUE(SUBSTITUTE(G188,",",""))</f>
        <v/>
      </c>
      <c r="K188">
        <f>E188="World"</f>
        <v/>
      </c>
      <c r="L188">
        <f>IF(J188=0,0,I188/J188)</f>
        <v/>
      </c>
      <c r="M188">
        <f>IF(K188,"",IF(E188="India","Re-import",IF(L188&lt;Lookups!$K$2,"Unit value below floor","")))</f>
        <v/>
      </c>
      <c r="N188">
        <f>IF(AND(NOT(K188),M188=""),1,0)</f>
        <v/>
      </c>
      <c r="O188">
        <f>SUMIFS($I$2:$I$190,$B$2:$B$190,B188,$C$2:$C$190,C188,$N$2:$N$190,1)/SUMIFS($J$2:$J$190,$B$2:$B$190,B188,$C$2:$C$190,C188,$N$2:$N$190,1)</f>
        <v/>
      </c>
      <c r="P188">
        <f>IF(K188,"",IF(M188="Unit value below floor",I188/O188,J188))</f>
        <v/>
      </c>
      <c r="Q188">
        <f>IF(K188,"",P188/1000*VLOOKUP(C188,Lookups!$G$2:$H$3,2,FALSE))</f>
        <v/>
      </c>
    </row>
    <row r="189">
      <c r="A189" t="inlineStr">
        <is>
          <t>India</t>
        </is>
      </c>
      <c r="B189" t="n">
        <v>2024</v>
      </c>
      <c r="C189" t="inlineStr">
        <is>
          <t>282520</t>
        </is>
      </c>
      <c r="D189" t="inlineStr">
        <is>
          <t>Lithium oxide and hydroxide</t>
        </is>
      </c>
      <c r="E189" t="inlineStr">
        <is>
          <t>Korea, Rep.</t>
        </is>
      </c>
      <c r="F189" t="inlineStr">
        <is>
          <t>1.09</t>
        </is>
      </c>
      <c r="G189" t="inlineStr">
        <is>
          <t>20</t>
        </is>
      </c>
      <c r="H189" t="inlineStr">
        <is>
          <t>Kg</t>
        </is>
      </c>
      <c r="I189">
        <f>VALUE(SUBSTITUTE(F189,",",""))*1000</f>
        <v/>
      </c>
      <c r="J189">
        <f>VALUE(SUBSTITUTE(G189,",",""))</f>
        <v/>
      </c>
      <c r="K189">
        <f>E189="World"</f>
        <v/>
      </c>
      <c r="L189">
        <f>IF(J189=0,0,I189/J189)</f>
        <v/>
      </c>
      <c r="M189">
        <f>IF(K189,"",IF(E189="India","Re-import",IF(L189&lt;Lookups!$K$2,"Unit value below floor","")))</f>
        <v/>
      </c>
      <c r="N189">
        <f>IF(AND(NOT(K189),M189=""),1,0)</f>
        <v/>
      </c>
      <c r="O189">
        <f>SUMIFS($I$2:$I$190,$B$2:$B$190,B189,$C$2:$C$190,C189,$N$2:$N$190,1)/SUMIFS($J$2:$J$190,$B$2:$B$190,B189,$C$2:$C$190,C189,$N$2:$N$190,1)</f>
        <v/>
      </c>
      <c r="P189">
        <f>IF(K189,"",IF(M189="Unit value below floor",I189/O189,J189))</f>
        <v/>
      </c>
      <c r="Q189">
        <f>IF(K189,"",P189/1000*VLOOKUP(C189,Lookups!$G$2:$H$3,2,FALSE))</f>
        <v/>
      </c>
    </row>
    <row r="190">
      <c r="A190" t="inlineStr">
        <is>
          <t>India</t>
        </is>
      </c>
      <c r="B190" t="n">
        <v>2024</v>
      </c>
      <c r="C190" t="inlineStr">
        <is>
          <t>282520</t>
        </is>
      </c>
      <c r="D190" t="inlineStr">
        <is>
          <t>Lithium oxide and hydroxide</t>
        </is>
      </c>
      <c r="E190" t="inlineStr">
        <is>
          <t>Australia</t>
        </is>
      </c>
      <c r="F190" t="inlineStr">
        <is>
          <t>0.04</t>
        </is>
      </c>
      <c r="G190" t="inlineStr">
        <is>
          <t>3</t>
        </is>
      </c>
      <c r="H190" t="inlineStr">
        <is>
          <t>Kg</t>
        </is>
      </c>
      <c r="I190">
        <f>VALUE(SUBSTITUTE(F190,",",""))*1000</f>
        <v/>
      </c>
      <c r="J190">
        <f>VALUE(SUBSTITUTE(G190,",",""))</f>
        <v/>
      </c>
      <c r="K190">
        <f>E190="World"</f>
        <v/>
      </c>
      <c r="L190">
        <f>IF(J190=0,0,I190/J190)</f>
        <v/>
      </c>
      <c r="M190">
        <f>IF(K190,"",IF(E190="India","Re-import",IF(L190&lt;Lookups!$K$2,"Unit value below floor","")))</f>
        <v/>
      </c>
      <c r="N190">
        <f>IF(AND(NOT(K190),M190=""),1,0)</f>
        <v/>
      </c>
      <c r="O190">
        <f>SUMIFS($I$2:$I$190,$B$2:$B$190,B190,$C$2:$C$190,C190,$N$2:$N$190,1)/SUMIFS($J$2:$J$190,$B$2:$B$190,B190,$C$2:$C$190,C190,$N$2:$N$190,1)</f>
        <v/>
      </c>
      <c r="P190">
        <f>IF(K190,"",IF(M190="Unit value below floor",I190/O190,J190))</f>
        <v/>
      </c>
      <c r="Q190">
        <f>IF(K190,"",P190/1000*VLOOKUP(C190,Lookups!$G$2:$H$3,2,FALSE))</f>
        <v/>
      </c>
    </row>
  </sheetData>
  <autoFilter ref="A1:Q1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8" customWidth="1" min="3" max="3"/>
    <col width="20" customWidth="1" min="4" max="4"/>
    <col width="15" customWidth="1" min="5" max="5"/>
    <col width="17" customWidth="1" min="6" max="6"/>
    <col width="20" customWidth="1" min="7" max="7"/>
    <col width="15" customWidth="1" min="8" max="8"/>
    <col width="17" customWidth="1" min="9" max="9"/>
    <col width="18" customWidth="1" min="10" max="10"/>
    <col width="26" customWidth="1" min="11" max="11"/>
  </cols>
  <sheetData>
    <row r="1">
      <c r="A1" s="6" t="inlineStr">
        <is>
          <t>Year</t>
        </is>
      </c>
      <c r="B1" s="6" t="inlineStr">
        <is>
          <t>HS6</t>
        </is>
      </c>
      <c r="C1" s="7" t="inlineStr">
        <is>
          <t>World_Value_USD</t>
        </is>
      </c>
      <c r="D1" s="7" t="inlineStr">
        <is>
          <t>Partner_Value_USD</t>
        </is>
      </c>
      <c r="E1" s="7" t="inlineStr">
        <is>
          <t>World_Qty_kg</t>
        </is>
      </c>
      <c r="F1" s="7" t="inlineStr">
        <is>
          <t>Partner_Qty_kg</t>
        </is>
      </c>
      <c r="G1" s="7" t="inlineStr">
        <is>
          <t>Check_Qty_Diff_kg</t>
        </is>
      </c>
      <c r="H1" s="7" t="inlineStr">
        <is>
          <t>Qty_Clean_kg</t>
        </is>
      </c>
      <c r="I1" s="7" t="inlineStr">
        <is>
          <t>Qty_Removed_kg</t>
        </is>
      </c>
      <c r="J1" s="7" t="inlineStr">
        <is>
          <t>Qty_Clean_t_LCE</t>
        </is>
      </c>
      <c r="K1" s="7" t="inlineStr">
        <is>
          <t>Clean_Unit_Value_USD_kg</t>
        </is>
      </c>
    </row>
    <row r="2">
      <c r="A2" t="n">
        <v>2018</v>
      </c>
      <c r="B2" t="inlineStr">
        <is>
          <t>283691</t>
        </is>
      </c>
      <c r="C2">
        <f>SUMIFS(Raw_Trade!$I$2:$I$190,Raw_Trade!$B$2:$B$190,A2,Raw_Trade!$C$2:$C$190,B2,Raw_Trade!$K$2:$K$190,TRUE)</f>
        <v/>
      </c>
      <c r="D2">
        <f>SUMIFS(Raw_Trade!$I$2:$I$190,Raw_Trade!$B$2:$B$190,A2,Raw_Trade!$C$2:$C$190,B2,Raw_Trade!$K$2:$K$190,FALSE)</f>
        <v/>
      </c>
      <c r="E2">
        <f>SUMIFS(Raw_Trade!$J$2:$J$190,Raw_Trade!$B$2:$B$190,A2,Raw_Trade!$C$2:$C$190,B2,Raw_Trade!$K$2:$K$190,TRUE)</f>
        <v/>
      </c>
      <c r="F2">
        <f>SUMIFS(Raw_Trade!$J$2:$J$190,Raw_Trade!$B$2:$B$190,A2,Raw_Trade!$C$2:$C$190,B2,Raw_Trade!$K$2:$K$190,FALSE)</f>
        <v/>
      </c>
      <c r="G2">
        <f>E2-F2</f>
        <v/>
      </c>
      <c r="H2">
        <f>SUMIFS(Raw_Trade!$P$2:$P$190,Raw_Trade!$B$2:$B$190,A2,Raw_Trade!$C$2:$C$190,B2)</f>
        <v/>
      </c>
      <c r="I2">
        <f>F2-H2</f>
        <v/>
      </c>
      <c r="J2">
        <f>SUMIFS(Raw_Trade!$Q$2:$Q$190,Raw_Trade!$B$2:$B$190,A2,Raw_Trade!$C$2:$C$190,B2)</f>
        <v/>
      </c>
      <c r="K2">
        <f>D2/H2</f>
        <v/>
      </c>
    </row>
    <row r="3">
      <c r="A3" t="n">
        <v>2019</v>
      </c>
      <c r="B3" t="inlineStr">
        <is>
          <t>283691</t>
        </is>
      </c>
      <c r="C3">
        <f>SUMIFS(Raw_Trade!$I$2:$I$190,Raw_Trade!$B$2:$B$190,A3,Raw_Trade!$C$2:$C$190,B3,Raw_Trade!$K$2:$K$190,TRUE)</f>
        <v/>
      </c>
      <c r="D3">
        <f>SUMIFS(Raw_Trade!$I$2:$I$190,Raw_Trade!$B$2:$B$190,A3,Raw_Trade!$C$2:$C$190,B3,Raw_Trade!$K$2:$K$190,FALSE)</f>
        <v/>
      </c>
      <c r="E3">
        <f>SUMIFS(Raw_Trade!$J$2:$J$190,Raw_Trade!$B$2:$B$190,A3,Raw_Trade!$C$2:$C$190,B3,Raw_Trade!$K$2:$K$190,TRUE)</f>
        <v/>
      </c>
      <c r="F3">
        <f>SUMIFS(Raw_Trade!$J$2:$J$190,Raw_Trade!$B$2:$B$190,A3,Raw_Trade!$C$2:$C$190,B3,Raw_Trade!$K$2:$K$190,FALSE)</f>
        <v/>
      </c>
      <c r="G3">
        <f>E3-F3</f>
        <v/>
      </c>
      <c r="H3">
        <f>SUMIFS(Raw_Trade!$P$2:$P$190,Raw_Trade!$B$2:$B$190,A3,Raw_Trade!$C$2:$C$190,B3)</f>
        <v/>
      </c>
      <c r="I3">
        <f>F3-H3</f>
        <v/>
      </c>
      <c r="J3">
        <f>SUMIFS(Raw_Trade!$Q$2:$Q$190,Raw_Trade!$B$2:$B$190,A3,Raw_Trade!$C$2:$C$190,B3)</f>
        <v/>
      </c>
      <c r="K3">
        <f>D3/H3</f>
        <v/>
      </c>
    </row>
    <row r="4">
      <c r="A4" t="n">
        <v>2020</v>
      </c>
      <c r="B4" t="inlineStr">
        <is>
          <t>283691</t>
        </is>
      </c>
      <c r="C4">
        <f>SUMIFS(Raw_Trade!$I$2:$I$190,Raw_Trade!$B$2:$B$190,A4,Raw_Trade!$C$2:$C$190,B4,Raw_Trade!$K$2:$K$190,TRUE)</f>
        <v/>
      </c>
      <c r="D4">
        <f>SUMIFS(Raw_Trade!$I$2:$I$190,Raw_Trade!$B$2:$B$190,A4,Raw_Trade!$C$2:$C$190,B4,Raw_Trade!$K$2:$K$190,FALSE)</f>
        <v/>
      </c>
      <c r="E4">
        <f>SUMIFS(Raw_Trade!$J$2:$J$190,Raw_Trade!$B$2:$B$190,A4,Raw_Trade!$C$2:$C$190,B4,Raw_Trade!$K$2:$K$190,TRUE)</f>
        <v/>
      </c>
      <c r="F4">
        <f>SUMIFS(Raw_Trade!$J$2:$J$190,Raw_Trade!$B$2:$B$190,A4,Raw_Trade!$C$2:$C$190,B4,Raw_Trade!$K$2:$K$190,FALSE)</f>
        <v/>
      </c>
      <c r="G4">
        <f>E4-F4</f>
        <v/>
      </c>
      <c r="H4">
        <f>SUMIFS(Raw_Trade!$P$2:$P$190,Raw_Trade!$B$2:$B$190,A4,Raw_Trade!$C$2:$C$190,B4)</f>
        <v/>
      </c>
      <c r="I4">
        <f>F4-H4</f>
        <v/>
      </c>
      <c r="J4">
        <f>SUMIFS(Raw_Trade!$Q$2:$Q$190,Raw_Trade!$B$2:$B$190,A4,Raw_Trade!$C$2:$C$190,B4)</f>
        <v/>
      </c>
      <c r="K4">
        <f>D4/H4</f>
        <v/>
      </c>
    </row>
    <row r="5">
      <c r="A5" t="n">
        <v>2021</v>
      </c>
      <c r="B5" t="inlineStr">
        <is>
          <t>283691</t>
        </is>
      </c>
      <c r="C5">
        <f>SUMIFS(Raw_Trade!$I$2:$I$190,Raw_Trade!$B$2:$B$190,A5,Raw_Trade!$C$2:$C$190,B5,Raw_Trade!$K$2:$K$190,TRUE)</f>
        <v/>
      </c>
      <c r="D5">
        <f>SUMIFS(Raw_Trade!$I$2:$I$190,Raw_Trade!$B$2:$B$190,A5,Raw_Trade!$C$2:$C$190,B5,Raw_Trade!$K$2:$K$190,FALSE)</f>
        <v/>
      </c>
      <c r="E5">
        <f>SUMIFS(Raw_Trade!$J$2:$J$190,Raw_Trade!$B$2:$B$190,A5,Raw_Trade!$C$2:$C$190,B5,Raw_Trade!$K$2:$K$190,TRUE)</f>
        <v/>
      </c>
      <c r="F5">
        <f>SUMIFS(Raw_Trade!$J$2:$J$190,Raw_Trade!$B$2:$B$190,A5,Raw_Trade!$C$2:$C$190,B5,Raw_Trade!$K$2:$K$190,FALSE)</f>
        <v/>
      </c>
      <c r="G5">
        <f>E5-F5</f>
        <v/>
      </c>
      <c r="H5">
        <f>SUMIFS(Raw_Trade!$P$2:$P$190,Raw_Trade!$B$2:$B$190,A5,Raw_Trade!$C$2:$C$190,B5)</f>
        <v/>
      </c>
      <c r="I5">
        <f>F5-H5</f>
        <v/>
      </c>
      <c r="J5">
        <f>SUMIFS(Raw_Trade!$Q$2:$Q$190,Raw_Trade!$B$2:$B$190,A5,Raw_Trade!$C$2:$C$190,B5)</f>
        <v/>
      </c>
      <c r="K5">
        <f>D5/H5</f>
        <v/>
      </c>
    </row>
    <row r="6">
      <c r="A6" t="n">
        <v>2022</v>
      </c>
      <c r="B6" t="inlineStr">
        <is>
          <t>283691</t>
        </is>
      </c>
      <c r="C6">
        <f>SUMIFS(Raw_Trade!$I$2:$I$190,Raw_Trade!$B$2:$B$190,A6,Raw_Trade!$C$2:$C$190,B6,Raw_Trade!$K$2:$K$190,TRUE)</f>
        <v/>
      </c>
      <c r="D6">
        <f>SUMIFS(Raw_Trade!$I$2:$I$190,Raw_Trade!$B$2:$B$190,A6,Raw_Trade!$C$2:$C$190,B6,Raw_Trade!$K$2:$K$190,FALSE)</f>
        <v/>
      </c>
      <c r="E6">
        <f>SUMIFS(Raw_Trade!$J$2:$J$190,Raw_Trade!$B$2:$B$190,A6,Raw_Trade!$C$2:$C$190,B6,Raw_Trade!$K$2:$K$190,TRUE)</f>
        <v/>
      </c>
      <c r="F6">
        <f>SUMIFS(Raw_Trade!$J$2:$J$190,Raw_Trade!$B$2:$B$190,A6,Raw_Trade!$C$2:$C$190,B6,Raw_Trade!$K$2:$K$190,FALSE)</f>
        <v/>
      </c>
      <c r="G6">
        <f>E6-F6</f>
        <v/>
      </c>
      <c r="H6">
        <f>SUMIFS(Raw_Trade!$P$2:$P$190,Raw_Trade!$B$2:$B$190,A6,Raw_Trade!$C$2:$C$190,B6)</f>
        <v/>
      </c>
      <c r="I6">
        <f>F6-H6</f>
        <v/>
      </c>
      <c r="J6">
        <f>SUMIFS(Raw_Trade!$Q$2:$Q$190,Raw_Trade!$B$2:$B$190,A6,Raw_Trade!$C$2:$C$190,B6)</f>
        <v/>
      </c>
      <c r="K6">
        <f>D6/H6</f>
        <v/>
      </c>
    </row>
    <row r="7">
      <c r="A7" t="n">
        <v>2023</v>
      </c>
      <c r="B7" t="inlineStr">
        <is>
          <t>283691</t>
        </is>
      </c>
      <c r="C7">
        <f>SUMIFS(Raw_Trade!$I$2:$I$190,Raw_Trade!$B$2:$B$190,A7,Raw_Trade!$C$2:$C$190,B7,Raw_Trade!$K$2:$K$190,TRUE)</f>
        <v/>
      </c>
      <c r="D7">
        <f>SUMIFS(Raw_Trade!$I$2:$I$190,Raw_Trade!$B$2:$B$190,A7,Raw_Trade!$C$2:$C$190,B7,Raw_Trade!$K$2:$K$190,FALSE)</f>
        <v/>
      </c>
      <c r="E7">
        <f>SUMIFS(Raw_Trade!$J$2:$J$190,Raw_Trade!$B$2:$B$190,A7,Raw_Trade!$C$2:$C$190,B7,Raw_Trade!$K$2:$K$190,TRUE)</f>
        <v/>
      </c>
      <c r="F7">
        <f>SUMIFS(Raw_Trade!$J$2:$J$190,Raw_Trade!$B$2:$B$190,A7,Raw_Trade!$C$2:$C$190,B7,Raw_Trade!$K$2:$K$190,FALSE)</f>
        <v/>
      </c>
      <c r="G7">
        <f>E7-F7</f>
        <v/>
      </c>
      <c r="H7">
        <f>SUMIFS(Raw_Trade!$P$2:$P$190,Raw_Trade!$B$2:$B$190,A7,Raw_Trade!$C$2:$C$190,B7)</f>
        <v/>
      </c>
      <c r="I7">
        <f>F7-H7</f>
        <v/>
      </c>
      <c r="J7">
        <f>SUMIFS(Raw_Trade!$Q$2:$Q$190,Raw_Trade!$B$2:$B$190,A7,Raw_Trade!$C$2:$C$190,B7)</f>
        <v/>
      </c>
      <c r="K7">
        <f>D7/H7</f>
        <v/>
      </c>
    </row>
    <row r="8">
      <c r="A8" t="n">
        <v>2024</v>
      </c>
      <c r="B8" t="inlineStr">
        <is>
          <t>283691</t>
        </is>
      </c>
      <c r="C8">
        <f>SUMIFS(Raw_Trade!$I$2:$I$190,Raw_Trade!$B$2:$B$190,A8,Raw_Trade!$C$2:$C$190,B8,Raw_Trade!$K$2:$K$190,TRUE)</f>
        <v/>
      </c>
      <c r="D8">
        <f>SUMIFS(Raw_Trade!$I$2:$I$190,Raw_Trade!$B$2:$B$190,A8,Raw_Trade!$C$2:$C$190,B8,Raw_Trade!$K$2:$K$190,FALSE)</f>
        <v/>
      </c>
      <c r="E8">
        <f>SUMIFS(Raw_Trade!$J$2:$J$190,Raw_Trade!$B$2:$B$190,A8,Raw_Trade!$C$2:$C$190,B8,Raw_Trade!$K$2:$K$190,TRUE)</f>
        <v/>
      </c>
      <c r="F8">
        <f>SUMIFS(Raw_Trade!$J$2:$J$190,Raw_Trade!$B$2:$B$190,A8,Raw_Trade!$C$2:$C$190,B8,Raw_Trade!$K$2:$K$190,FALSE)</f>
        <v/>
      </c>
      <c r="G8">
        <f>E8-F8</f>
        <v/>
      </c>
      <c r="H8">
        <f>SUMIFS(Raw_Trade!$P$2:$P$190,Raw_Trade!$B$2:$B$190,A8,Raw_Trade!$C$2:$C$190,B8)</f>
        <v/>
      </c>
      <c r="I8">
        <f>F8-H8</f>
        <v/>
      </c>
      <c r="J8">
        <f>SUMIFS(Raw_Trade!$Q$2:$Q$190,Raw_Trade!$B$2:$B$190,A8,Raw_Trade!$C$2:$C$190,B8)</f>
        <v/>
      </c>
      <c r="K8">
        <f>D8/H8</f>
        <v/>
      </c>
    </row>
    <row r="9">
      <c r="A9" t="n">
        <v>2018</v>
      </c>
      <c r="B9" t="inlineStr">
        <is>
          <t>282520</t>
        </is>
      </c>
      <c r="C9">
        <f>SUMIFS(Raw_Trade!$I$2:$I$190,Raw_Trade!$B$2:$B$190,A9,Raw_Trade!$C$2:$C$190,B9,Raw_Trade!$K$2:$K$190,TRUE)</f>
        <v/>
      </c>
      <c r="D9">
        <f>SUMIFS(Raw_Trade!$I$2:$I$190,Raw_Trade!$B$2:$B$190,A9,Raw_Trade!$C$2:$C$190,B9,Raw_Trade!$K$2:$K$190,FALSE)</f>
        <v/>
      </c>
      <c r="E9">
        <f>SUMIFS(Raw_Trade!$J$2:$J$190,Raw_Trade!$B$2:$B$190,A9,Raw_Trade!$C$2:$C$190,B9,Raw_Trade!$K$2:$K$190,TRUE)</f>
        <v/>
      </c>
      <c r="F9">
        <f>SUMIFS(Raw_Trade!$J$2:$J$190,Raw_Trade!$B$2:$B$190,A9,Raw_Trade!$C$2:$C$190,B9,Raw_Trade!$K$2:$K$190,FALSE)</f>
        <v/>
      </c>
      <c r="G9">
        <f>E9-F9</f>
        <v/>
      </c>
      <c r="H9">
        <f>SUMIFS(Raw_Trade!$P$2:$P$190,Raw_Trade!$B$2:$B$190,A9,Raw_Trade!$C$2:$C$190,B9)</f>
        <v/>
      </c>
      <c r="I9">
        <f>F9-H9</f>
        <v/>
      </c>
      <c r="J9">
        <f>SUMIFS(Raw_Trade!$Q$2:$Q$190,Raw_Trade!$B$2:$B$190,A9,Raw_Trade!$C$2:$C$190,B9)</f>
        <v/>
      </c>
      <c r="K9">
        <f>D9/H9</f>
        <v/>
      </c>
    </row>
    <row r="10">
      <c r="A10" t="n">
        <v>2019</v>
      </c>
      <c r="B10" t="inlineStr">
        <is>
          <t>282520</t>
        </is>
      </c>
      <c r="C10">
        <f>SUMIFS(Raw_Trade!$I$2:$I$190,Raw_Trade!$B$2:$B$190,A10,Raw_Trade!$C$2:$C$190,B10,Raw_Trade!$K$2:$K$190,TRUE)</f>
        <v/>
      </c>
      <c r="D10">
        <f>SUMIFS(Raw_Trade!$I$2:$I$190,Raw_Trade!$B$2:$B$190,A10,Raw_Trade!$C$2:$C$190,B10,Raw_Trade!$K$2:$K$190,FALSE)</f>
        <v/>
      </c>
      <c r="E10">
        <f>SUMIFS(Raw_Trade!$J$2:$J$190,Raw_Trade!$B$2:$B$190,A10,Raw_Trade!$C$2:$C$190,B10,Raw_Trade!$K$2:$K$190,TRUE)</f>
        <v/>
      </c>
      <c r="F10">
        <f>SUMIFS(Raw_Trade!$J$2:$J$190,Raw_Trade!$B$2:$B$190,A10,Raw_Trade!$C$2:$C$190,B10,Raw_Trade!$K$2:$K$190,FALSE)</f>
        <v/>
      </c>
      <c r="G10">
        <f>E10-F10</f>
        <v/>
      </c>
      <c r="H10">
        <f>SUMIFS(Raw_Trade!$P$2:$P$190,Raw_Trade!$B$2:$B$190,A10,Raw_Trade!$C$2:$C$190,B10)</f>
        <v/>
      </c>
      <c r="I10">
        <f>F10-H10</f>
        <v/>
      </c>
      <c r="J10">
        <f>SUMIFS(Raw_Trade!$Q$2:$Q$190,Raw_Trade!$B$2:$B$190,A10,Raw_Trade!$C$2:$C$190,B10)</f>
        <v/>
      </c>
      <c r="K10">
        <f>D10/H10</f>
        <v/>
      </c>
    </row>
    <row r="11">
      <c r="A11" t="n">
        <v>2020</v>
      </c>
      <c r="B11" t="inlineStr">
        <is>
          <t>282520</t>
        </is>
      </c>
      <c r="C11">
        <f>SUMIFS(Raw_Trade!$I$2:$I$190,Raw_Trade!$B$2:$B$190,A11,Raw_Trade!$C$2:$C$190,B11,Raw_Trade!$K$2:$K$190,TRUE)</f>
        <v/>
      </c>
      <c r="D11">
        <f>SUMIFS(Raw_Trade!$I$2:$I$190,Raw_Trade!$B$2:$B$190,A11,Raw_Trade!$C$2:$C$190,B11,Raw_Trade!$K$2:$K$190,FALSE)</f>
        <v/>
      </c>
      <c r="E11">
        <f>SUMIFS(Raw_Trade!$J$2:$J$190,Raw_Trade!$B$2:$B$190,A11,Raw_Trade!$C$2:$C$190,B11,Raw_Trade!$K$2:$K$190,TRUE)</f>
        <v/>
      </c>
      <c r="F11">
        <f>SUMIFS(Raw_Trade!$J$2:$J$190,Raw_Trade!$B$2:$B$190,A11,Raw_Trade!$C$2:$C$190,B11,Raw_Trade!$K$2:$K$190,FALSE)</f>
        <v/>
      </c>
      <c r="G11">
        <f>E11-F11</f>
        <v/>
      </c>
      <c r="H11">
        <f>SUMIFS(Raw_Trade!$P$2:$P$190,Raw_Trade!$B$2:$B$190,A11,Raw_Trade!$C$2:$C$190,B11)</f>
        <v/>
      </c>
      <c r="I11">
        <f>F11-H11</f>
        <v/>
      </c>
      <c r="J11">
        <f>SUMIFS(Raw_Trade!$Q$2:$Q$190,Raw_Trade!$B$2:$B$190,A11,Raw_Trade!$C$2:$C$190,B11)</f>
        <v/>
      </c>
      <c r="K11">
        <f>D11/H11</f>
        <v/>
      </c>
    </row>
    <row r="12">
      <c r="A12" t="n">
        <v>2021</v>
      </c>
      <c r="B12" t="inlineStr">
        <is>
          <t>282520</t>
        </is>
      </c>
      <c r="C12">
        <f>SUMIFS(Raw_Trade!$I$2:$I$190,Raw_Trade!$B$2:$B$190,A12,Raw_Trade!$C$2:$C$190,B12,Raw_Trade!$K$2:$K$190,TRUE)</f>
        <v/>
      </c>
      <c r="D12">
        <f>SUMIFS(Raw_Trade!$I$2:$I$190,Raw_Trade!$B$2:$B$190,A12,Raw_Trade!$C$2:$C$190,B12,Raw_Trade!$K$2:$K$190,FALSE)</f>
        <v/>
      </c>
      <c r="E12">
        <f>SUMIFS(Raw_Trade!$J$2:$J$190,Raw_Trade!$B$2:$B$190,A12,Raw_Trade!$C$2:$C$190,B12,Raw_Trade!$K$2:$K$190,TRUE)</f>
        <v/>
      </c>
      <c r="F12">
        <f>SUMIFS(Raw_Trade!$J$2:$J$190,Raw_Trade!$B$2:$B$190,A12,Raw_Trade!$C$2:$C$190,B12,Raw_Trade!$K$2:$K$190,FALSE)</f>
        <v/>
      </c>
      <c r="G12">
        <f>E12-F12</f>
        <v/>
      </c>
      <c r="H12">
        <f>SUMIFS(Raw_Trade!$P$2:$P$190,Raw_Trade!$B$2:$B$190,A12,Raw_Trade!$C$2:$C$190,B12)</f>
        <v/>
      </c>
      <c r="I12">
        <f>F12-H12</f>
        <v/>
      </c>
      <c r="J12">
        <f>SUMIFS(Raw_Trade!$Q$2:$Q$190,Raw_Trade!$B$2:$B$190,A12,Raw_Trade!$C$2:$C$190,B12)</f>
        <v/>
      </c>
      <c r="K12">
        <f>D12/H12</f>
        <v/>
      </c>
    </row>
    <row r="13">
      <c r="A13" t="n">
        <v>2022</v>
      </c>
      <c r="B13" t="inlineStr">
        <is>
          <t>282520</t>
        </is>
      </c>
      <c r="C13">
        <f>SUMIFS(Raw_Trade!$I$2:$I$190,Raw_Trade!$B$2:$B$190,A13,Raw_Trade!$C$2:$C$190,B13,Raw_Trade!$K$2:$K$190,TRUE)</f>
        <v/>
      </c>
      <c r="D13">
        <f>SUMIFS(Raw_Trade!$I$2:$I$190,Raw_Trade!$B$2:$B$190,A13,Raw_Trade!$C$2:$C$190,B13,Raw_Trade!$K$2:$K$190,FALSE)</f>
        <v/>
      </c>
      <c r="E13">
        <f>SUMIFS(Raw_Trade!$J$2:$J$190,Raw_Trade!$B$2:$B$190,A13,Raw_Trade!$C$2:$C$190,B13,Raw_Trade!$K$2:$K$190,TRUE)</f>
        <v/>
      </c>
      <c r="F13">
        <f>SUMIFS(Raw_Trade!$J$2:$J$190,Raw_Trade!$B$2:$B$190,A13,Raw_Trade!$C$2:$C$190,B13,Raw_Trade!$K$2:$K$190,FALSE)</f>
        <v/>
      </c>
      <c r="G13">
        <f>E13-F13</f>
        <v/>
      </c>
      <c r="H13">
        <f>SUMIFS(Raw_Trade!$P$2:$P$190,Raw_Trade!$B$2:$B$190,A13,Raw_Trade!$C$2:$C$190,B13)</f>
        <v/>
      </c>
      <c r="I13">
        <f>F13-H13</f>
        <v/>
      </c>
      <c r="J13">
        <f>SUMIFS(Raw_Trade!$Q$2:$Q$190,Raw_Trade!$B$2:$B$190,A13,Raw_Trade!$C$2:$C$190,B13)</f>
        <v/>
      </c>
      <c r="K13">
        <f>D13/H13</f>
        <v/>
      </c>
    </row>
    <row r="14">
      <c r="A14" t="n">
        <v>2023</v>
      </c>
      <c r="B14" t="inlineStr">
        <is>
          <t>282520</t>
        </is>
      </c>
      <c r="C14">
        <f>SUMIFS(Raw_Trade!$I$2:$I$190,Raw_Trade!$B$2:$B$190,A14,Raw_Trade!$C$2:$C$190,B14,Raw_Trade!$K$2:$K$190,TRUE)</f>
        <v/>
      </c>
      <c r="D14">
        <f>SUMIFS(Raw_Trade!$I$2:$I$190,Raw_Trade!$B$2:$B$190,A14,Raw_Trade!$C$2:$C$190,B14,Raw_Trade!$K$2:$K$190,FALSE)</f>
        <v/>
      </c>
      <c r="E14">
        <f>SUMIFS(Raw_Trade!$J$2:$J$190,Raw_Trade!$B$2:$B$190,A14,Raw_Trade!$C$2:$C$190,B14,Raw_Trade!$K$2:$K$190,TRUE)</f>
        <v/>
      </c>
      <c r="F14">
        <f>SUMIFS(Raw_Trade!$J$2:$J$190,Raw_Trade!$B$2:$B$190,A14,Raw_Trade!$C$2:$C$190,B14,Raw_Trade!$K$2:$K$190,FALSE)</f>
        <v/>
      </c>
      <c r="G14">
        <f>E14-F14</f>
        <v/>
      </c>
      <c r="H14">
        <f>SUMIFS(Raw_Trade!$P$2:$P$190,Raw_Trade!$B$2:$B$190,A14,Raw_Trade!$C$2:$C$190,B14)</f>
        <v/>
      </c>
      <c r="I14">
        <f>F14-H14</f>
        <v/>
      </c>
      <c r="J14">
        <f>SUMIFS(Raw_Trade!$Q$2:$Q$190,Raw_Trade!$B$2:$B$190,A14,Raw_Trade!$C$2:$C$190,B14)</f>
        <v/>
      </c>
      <c r="K14">
        <f>D14/H14</f>
        <v/>
      </c>
    </row>
    <row r="15">
      <c r="A15" t="n">
        <v>2024</v>
      </c>
      <c r="B15" t="inlineStr">
        <is>
          <t>282520</t>
        </is>
      </c>
      <c r="C15">
        <f>SUMIFS(Raw_Trade!$I$2:$I$190,Raw_Trade!$B$2:$B$190,A15,Raw_Trade!$C$2:$C$190,B15,Raw_Trade!$K$2:$K$190,TRUE)</f>
        <v/>
      </c>
      <c r="D15">
        <f>SUMIFS(Raw_Trade!$I$2:$I$190,Raw_Trade!$B$2:$B$190,A15,Raw_Trade!$C$2:$C$190,B15,Raw_Trade!$K$2:$K$190,FALSE)</f>
        <v/>
      </c>
      <c r="E15">
        <f>SUMIFS(Raw_Trade!$J$2:$J$190,Raw_Trade!$B$2:$B$190,A15,Raw_Trade!$C$2:$C$190,B15,Raw_Trade!$K$2:$K$190,TRUE)</f>
        <v/>
      </c>
      <c r="F15">
        <f>SUMIFS(Raw_Trade!$J$2:$J$190,Raw_Trade!$B$2:$B$190,A15,Raw_Trade!$C$2:$C$190,B15,Raw_Trade!$K$2:$K$190,FALSE)</f>
        <v/>
      </c>
      <c r="G15">
        <f>E15-F15</f>
        <v/>
      </c>
      <c r="H15">
        <f>SUMIFS(Raw_Trade!$P$2:$P$190,Raw_Trade!$B$2:$B$190,A15,Raw_Trade!$C$2:$C$190,B15)</f>
        <v/>
      </c>
      <c r="I15">
        <f>F15-H15</f>
        <v/>
      </c>
      <c r="J15">
        <f>SUMIFS(Raw_Trade!$Q$2:$Q$190,Raw_Trade!$B$2:$B$190,A15,Raw_Trade!$C$2:$C$190,B15)</f>
        <v/>
      </c>
      <c r="K15">
        <f>D15/H15</f>
        <v/>
      </c>
    </row>
    <row r="17">
      <c r="A17" s="4" t="inlineStr">
        <is>
          <t>Industrial baseline (avg 2022-24, t LCE)</t>
        </is>
      </c>
    </row>
    <row r="18">
      <c r="A18" t="inlineStr">
        <is>
          <t>Carbonate (283691)</t>
        </is>
      </c>
      <c r="B18">
        <f>AVERAGEIFS(J2:J15,B2:B15,"283691",A2:A15,"&gt;=2022")</f>
        <v/>
      </c>
    </row>
    <row r="19">
      <c r="A19" t="inlineStr">
        <is>
          <t>Hydroxide (282520)</t>
        </is>
      </c>
      <c r="B19">
        <f>AVERAGEIFS(J2:J15,B2:B15,"282520",A2:A15,"&gt;=2022")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20" customWidth="1" min="4" max="4"/>
    <col width="19" customWidth="1" min="5" max="5"/>
    <col width="11" customWidth="1" min="6" max="6"/>
    <col width="11" customWidth="1" min="7" max="7"/>
    <col width="14" customWidth="1" min="8" max="8"/>
    <col width="11" customWidth="1" min="9" max="9"/>
    <col width="11" customWidth="1" min="10" max="10"/>
  </cols>
  <sheetData>
    <row r="1">
      <c r="A1" s="6" t="inlineStr">
        <is>
          <t>Source_ID</t>
        </is>
      </c>
      <c r="B1" s="6" t="inlineStr">
        <is>
          <t>Period_As_Reported</t>
        </is>
      </c>
      <c r="C1" s="6" t="inlineStr">
        <is>
          <t>Segment_As_Reported</t>
        </is>
      </c>
      <c r="D1" s="6" t="inlineStr">
        <is>
          <t>Value_As_Reported</t>
        </is>
      </c>
      <c r="E1" s="6" t="inlineStr">
        <is>
          <t>Unit_As_Reported</t>
        </is>
      </c>
      <c r="F1" s="6" t="inlineStr">
        <is>
          <t>Note</t>
        </is>
      </c>
      <c r="G1" s="7" t="inlineStr">
        <is>
          <t>Period</t>
        </is>
      </c>
      <c r="H1" s="7" t="inlineStr">
        <is>
          <t>Std_Segment</t>
        </is>
      </c>
      <c r="I1" s="7" t="inlineStr">
        <is>
          <t>Measure</t>
        </is>
      </c>
      <c r="J1" s="7" t="inlineStr">
        <is>
          <t>Value</t>
        </is>
      </c>
    </row>
    <row r="2">
      <c r="A2" t="inlineStr">
        <is>
          <t>S07</t>
        </is>
      </c>
      <c r="B2" t="inlineStr">
        <is>
          <t>FY2025</t>
        </is>
      </c>
      <c r="C2" t="inlineStr">
        <is>
          <t>Total EVs</t>
        </is>
      </c>
      <c r="D2" t="inlineStr">
        <is>
          <t>1,964,831</t>
        </is>
      </c>
      <c r="E2" t="inlineStr">
        <is>
          <t>units</t>
        </is>
      </c>
      <c r="F2" t="inlineStr">
        <is>
          <t>Vahan retail</t>
        </is>
      </c>
      <c r="G2">
        <f>IF(LEFT(B2,2)="CY",B2,IF(ISNUMBER(SEARCH("target",B2)),"Target2030",IF(LEN(SUBSTITUTE(UPPER(B2)," ",""))=9,"FY"&amp;MID(SUBSTITUTE(B2," ",""),3,2)&amp;RIGHT(B2,2),SUBSTITUTE(UPPER(B2)," ",""))))</f>
        <v/>
      </c>
      <c r="H2">
        <f>VLOOKUP(LOWER(TRIM(C2)),Lookups!$A$2:$B$37,2,FALSE)</f>
        <v/>
      </c>
      <c r="I2">
        <f>VLOOKUP(LOWER(TRIM(E2)),Lookups!$D$2:$E$11,2,FALSE)</f>
        <v/>
      </c>
      <c r="J2">
        <f>VALUE(TRIM(SUBSTITUTE(SUBSTITUTE(SUBSTITUTE(SUBSTITUTE(SUBSTITUTE(LOWER(D2),",",""),"~",""),"&gt;",""),"almost",""),"lakh","")))*IF(ISNUMBER(SEARCH("lakh",D2)),100000,1)*IF(LOWER(E2)="million",1000000,1)</f>
        <v/>
      </c>
    </row>
    <row r="3">
      <c r="A3" t="inlineStr">
        <is>
          <t>S07</t>
        </is>
      </c>
      <c r="B3" t="inlineStr">
        <is>
          <t>FY2025</t>
        </is>
      </c>
      <c r="C3" t="inlineStr">
        <is>
          <t>Electric two-wheelers (e2W)</t>
        </is>
      </c>
      <c r="D3" t="inlineStr">
        <is>
          <t>1,149,307</t>
        </is>
      </c>
      <c r="E3" t="inlineStr">
        <is>
          <t>units</t>
        </is>
      </c>
      <c r="F3" t="inlineStr"/>
      <c r="G3">
        <f>IF(LEFT(B3,2)="CY",B3,IF(ISNUMBER(SEARCH("target",B3)),"Target2030",IF(LEN(SUBSTITUTE(UPPER(B3)," ",""))=9,"FY"&amp;MID(SUBSTITUTE(B3," ",""),3,2)&amp;RIGHT(B3,2),SUBSTITUTE(UPPER(B3)," ",""))))</f>
        <v/>
      </c>
      <c r="H3">
        <f>VLOOKUP(LOWER(TRIM(C3)),Lookups!$A$2:$B$37,2,FALSE)</f>
        <v/>
      </c>
      <c r="I3">
        <f>VLOOKUP(LOWER(TRIM(E3)),Lookups!$D$2:$E$11,2,FALSE)</f>
        <v/>
      </c>
      <c r="J3">
        <f>VALUE(TRIM(SUBSTITUTE(SUBSTITUTE(SUBSTITUTE(SUBSTITUTE(SUBSTITUTE(LOWER(D3),",",""),"~",""),"&gt;",""),"almost",""),"lakh","")))*IF(ISNUMBER(SEARCH("lakh",D3)),100000,1)*IF(LOWER(E3)="million",1000000,1)</f>
        <v/>
      </c>
    </row>
    <row r="4">
      <c r="A4" t="inlineStr">
        <is>
          <t>S07</t>
        </is>
      </c>
      <c r="B4" t="inlineStr">
        <is>
          <t>FY2025</t>
        </is>
      </c>
      <c r="C4" t="inlineStr">
        <is>
          <t>Electric three-wheelers (e3W)</t>
        </is>
      </c>
      <c r="D4" t="inlineStr">
        <is>
          <t>699,062</t>
        </is>
      </c>
      <c r="E4" t="inlineStr">
        <is>
          <t>units</t>
        </is>
      </c>
      <c r="F4" t="inlineStr"/>
      <c r="G4">
        <f>IF(LEFT(B4,2)="CY",B4,IF(ISNUMBER(SEARCH("target",B4)),"Target2030",IF(LEN(SUBSTITUTE(UPPER(B4)," ",""))=9,"FY"&amp;MID(SUBSTITUTE(B4," ",""),3,2)&amp;RIGHT(B4,2),SUBSTITUTE(UPPER(B4)," ",""))))</f>
        <v/>
      </c>
      <c r="H4">
        <f>VLOOKUP(LOWER(TRIM(C4)),Lookups!$A$2:$B$37,2,FALSE)</f>
        <v/>
      </c>
      <c r="I4">
        <f>VLOOKUP(LOWER(TRIM(E4)),Lookups!$D$2:$E$11,2,FALSE)</f>
        <v/>
      </c>
      <c r="J4">
        <f>VALUE(TRIM(SUBSTITUTE(SUBSTITUTE(SUBSTITUTE(SUBSTITUTE(SUBSTITUTE(LOWER(D4),",",""),"~",""),"&gt;",""),"almost",""),"lakh","")))*IF(ISNUMBER(SEARCH("lakh",D4)),100000,1)*IF(LOWER(E4)="million",1000000,1)</f>
        <v/>
      </c>
    </row>
    <row r="5">
      <c r="A5" t="inlineStr">
        <is>
          <t>S07</t>
        </is>
      </c>
      <c r="B5" t="inlineStr">
        <is>
          <t>FY2025</t>
        </is>
      </c>
      <c r="C5" t="inlineStr">
        <is>
          <t>Electric passenger vehicles (cars, SUVs, MPVs)</t>
        </is>
      </c>
      <c r="D5" t="inlineStr">
        <is>
          <t>107,462</t>
        </is>
      </c>
      <c r="E5" t="inlineStr">
        <is>
          <t>units</t>
        </is>
      </c>
      <c r="F5" t="inlineStr"/>
      <c r="G5">
        <f>IF(LEFT(B5,2)="CY",B5,IF(ISNUMBER(SEARCH("target",B5)),"Target2030",IF(LEN(SUBSTITUTE(UPPER(B5)," ",""))=9,"FY"&amp;MID(SUBSTITUTE(B5," ",""),3,2)&amp;RIGHT(B5,2),SUBSTITUTE(UPPER(B5)," ",""))))</f>
        <v/>
      </c>
      <c r="H5">
        <f>VLOOKUP(LOWER(TRIM(C5)),Lookups!$A$2:$B$37,2,FALSE)</f>
        <v/>
      </c>
      <c r="I5">
        <f>VLOOKUP(LOWER(TRIM(E5)),Lookups!$D$2:$E$11,2,FALSE)</f>
        <v/>
      </c>
      <c r="J5">
        <f>VALUE(TRIM(SUBSTITUTE(SUBSTITUTE(SUBSTITUTE(SUBSTITUTE(SUBSTITUTE(LOWER(D5),",",""),"~",""),"&gt;",""),"almost",""),"lakh","")))*IF(ISNUMBER(SEARCH("lakh",D5)),100000,1)*IF(LOWER(E5)="million",1000000,1)</f>
        <v/>
      </c>
    </row>
    <row r="6">
      <c r="A6" t="inlineStr">
        <is>
          <t>S07</t>
        </is>
      </c>
      <c r="B6" t="inlineStr">
        <is>
          <t>FY2025</t>
        </is>
      </c>
      <c r="C6" t="inlineStr">
        <is>
          <t>Electric commercial vehicles (buses, heavy and light goods)</t>
        </is>
      </c>
      <c r="D6" t="inlineStr">
        <is>
          <t>8,726</t>
        </is>
      </c>
      <c r="E6" t="inlineStr">
        <is>
          <t>units</t>
        </is>
      </c>
      <c r="F6" t="inlineStr"/>
      <c r="G6">
        <f>IF(LEFT(B6,2)="CY",B6,IF(ISNUMBER(SEARCH("target",B6)),"Target2030",IF(LEN(SUBSTITUTE(UPPER(B6)," ",""))=9,"FY"&amp;MID(SUBSTITUTE(B6," ",""),3,2)&amp;RIGHT(B6,2),SUBSTITUTE(UPPER(B6)," ",""))))</f>
        <v/>
      </c>
      <c r="H6">
        <f>VLOOKUP(LOWER(TRIM(C6)),Lookups!$A$2:$B$37,2,FALSE)</f>
        <v/>
      </c>
      <c r="I6">
        <f>VLOOKUP(LOWER(TRIM(E6)),Lookups!$D$2:$E$11,2,FALSE)</f>
        <v/>
      </c>
      <c r="J6">
        <f>VALUE(TRIM(SUBSTITUTE(SUBSTITUTE(SUBSTITUTE(SUBSTITUTE(SUBSTITUTE(LOWER(D6),",",""),"~",""),"&gt;",""),"almost",""),"lakh","")))*IF(ISNUMBER(SEARCH("lakh",D6)),100000,1)*IF(LOWER(E6)="million",1000000,1)</f>
        <v/>
      </c>
    </row>
    <row r="7">
      <c r="A7" t="inlineStr">
        <is>
          <t>S07</t>
        </is>
      </c>
      <c r="B7" t="inlineStr">
        <is>
          <t>FY2024</t>
        </is>
      </c>
      <c r="C7" t="inlineStr">
        <is>
          <t>Total EVs</t>
        </is>
      </c>
      <c r="D7" t="inlineStr">
        <is>
          <t>1,681,241</t>
        </is>
      </c>
      <c r="E7" t="inlineStr">
        <is>
          <t>units</t>
        </is>
      </c>
      <c r="F7" t="inlineStr"/>
      <c r="G7">
        <f>IF(LEFT(B7,2)="CY",B7,IF(ISNUMBER(SEARCH("target",B7)),"Target2030",IF(LEN(SUBSTITUTE(UPPER(B7)," ",""))=9,"FY"&amp;MID(SUBSTITUTE(B7," ",""),3,2)&amp;RIGHT(B7,2),SUBSTITUTE(UPPER(B7)," ",""))))</f>
        <v/>
      </c>
      <c r="H7">
        <f>VLOOKUP(LOWER(TRIM(C7)),Lookups!$A$2:$B$37,2,FALSE)</f>
        <v/>
      </c>
      <c r="I7">
        <f>VLOOKUP(LOWER(TRIM(E7)),Lookups!$D$2:$E$11,2,FALSE)</f>
        <v/>
      </c>
      <c r="J7">
        <f>VALUE(TRIM(SUBSTITUTE(SUBSTITUTE(SUBSTITUTE(SUBSTITUTE(SUBSTITUTE(LOWER(D7),",",""),"~",""),"&gt;",""),"almost",""),"lakh","")))*IF(ISNUMBER(SEARCH("lakh",D7)),100000,1)*IF(LOWER(E7)="million",1000000,1)</f>
        <v/>
      </c>
    </row>
    <row r="8">
      <c r="A8" t="inlineStr">
        <is>
          <t>S07</t>
        </is>
      </c>
      <c r="B8" t="inlineStr">
        <is>
          <t>FY2024</t>
        </is>
      </c>
      <c r="C8" t="inlineStr">
        <is>
          <t>Electric three-wheelers (e3W)</t>
        </is>
      </c>
      <c r="D8" t="inlineStr">
        <is>
          <t>632,798</t>
        </is>
      </c>
      <c r="E8" t="inlineStr">
        <is>
          <t>units</t>
        </is>
      </c>
      <c r="F8" t="inlineStr"/>
      <c r="G8">
        <f>IF(LEFT(B8,2)="CY",B8,IF(ISNUMBER(SEARCH("target",B8)),"Target2030",IF(LEN(SUBSTITUTE(UPPER(B8)," ",""))=9,"FY"&amp;MID(SUBSTITUTE(B8," ",""),3,2)&amp;RIGHT(B8,2),SUBSTITUTE(UPPER(B8)," ",""))))</f>
        <v/>
      </c>
      <c r="H8">
        <f>VLOOKUP(LOWER(TRIM(C8)),Lookups!$A$2:$B$37,2,FALSE)</f>
        <v/>
      </c>
      <c r="I8">
        <f>VLOOKUP(LOWER(TRIM(E8)),Lookups!$D$2:$E$11,2,FALSE)</f>
        <v/>
      </c>
      <c r="J8">
        <f>VALUE(TRIM(SUBSTITUTE(SUBSTITUTE(SUBSTITUTE(SUBSTITUTE(SUBSTITUTE(LOWER(D8),",",""),"~",""),"&gt;",""),"almost",""),"lakh","")))*IF(ISNUMBER(SEARCH("lakh",D8)),100000,1)*IF(LOWER(E8)="million",1000000,1)</f>
        <v/>
      </c>
    </row>
    <row r="9">
      <c r="A9" t="inlineStr">
        <is>
          <t>S07</t>
        </is>
      </c>
      <c r="B9" t="inlineStr">
        <is>
          <t>FY2024</t>
        </is>
      </c>
      <c r="C9" t="inlineStr">
        <is>
          <t>Electric passenger vehicles</t>
        </is>
      </c>
      <c r="D9" t="inlineStr">
        <is>
          <t>91,321</t>
        </is>
      </c>
      <c r="E9" t="inlineStr">
        <is>
          <t>units</t>
        </is>
      </c>
      <c r="F9" t="inlineStr"/>
      <c r="G9">
        <f>IF(LEFT(B9,2)="CY",B9,IF(ISNUMBER(SEARCH("target",B9)),"Target2030",IF(LEN(SUBSTITUTE(UPPER(B9)," ",""))=9,"FY"&amp;MID(SUBSTITUTE(B9," ",""),3,2)&amp;RIGHT(B9,2),SUBSTITUTE(UPPER(B9)," ",""))))</f>
        <v/>
      </c>
      <c r="H9">
        <f>VLOOKUP(LOWER(TRIM(C9)),Lookups!$A$2:$B$37,2,FALSE)</f>
        <v/>
      </c>
      <c r="I9">
        <f>VLOOKUP(LOWER(TRIM(E9)),Lookups!$D$2:$E$11,2,FALSE)</f>
        <v/>
      </c>
      <c r="J9">
        <f>VALUE(TRIM(SUBSTITUTE(SUBSTITUTE(SUBSTITUTE(SUBSTITUTE(SUBSTITUTE(LOWER(D9),",",""),"~",""),"&gt;",""),"almost",""),"lakh","")))*IF(ISNUMBER(SEARCH("lakh",D9)),100000,1)*IF(LOWER(E9)="million",1000000,1)</f>
        <v/>
      </c>
    </row>
    <row r="10">
      <c r="A10" t="inlineStr">
        <is>
          <t>S07</t>
        </is>
      </c>
      <c r="B10" t="inlineStr">
        <is>
          <t>FY2024</t>
        </is>
      </c>
      <c r="C10" t="inlineStr">
        <is>
          <t>e2W</t>
        </is>
      </c>
      <c r="D10" t="inlineStr">
        <is>
          <t>56</t>
        </is>
      </c>
      <c r="E10" t="inlineStr">
        <is>
          <t>% of EV sales</t>
        </is>
      </c>
      <c r="F10" t="inlineStr">
        <is>
          <t>share only</t>
        </is>
      </c>
      <c r="G10">
        <f>IF(LEFT(B10,2)="CY",B10,IF(ISNUMBER(SEARCH("target",B10)),"Target2030",IF(LEN(SUBSTITUTE(UPPER(B10)," ",""))=9,"FY"&amp;MID(SUBSTITUTE(B10," ",""),3,2)&amp;RIGHT(B10,2),SUBSTITUTE(UPPER(B10)," ",""))))</f>
        <v/>
      </c>
      <c r="H10">
        <f>VLOOKUP(LOWER(TRIM(C10)),Lookups!$A$2:$B$37,2,FALSE)</f>
        <v/>
      </c>
      <c r="I10">
        <f>VLOOKUP(LOWER(TRIM(E10)),Lookups!$D$2:$E$11,2,FALSE)</f>
        <v/>
      </c>
      <c r="J10">
        <f>VALUE(TRIM(SUBSTITUTE(SUBSTITUTE(SUBSTITUTE(SUBSTITUTE(SUBSTITUTE(LOWER(D10),",",""),"~",""),"&gt;",""),"almost",""),"lakh","")))*IF(ISNUMBER(SEARCH("lakh",D10)),100000,1)*IF(LOWER(E10)="million",1000000,1)</f>
        <v/>
      </c>
    </row>
    <row r="11">
      <c r="A11" t="inlineStr">
        <is>
          <t>S08</t>
        </is>
      </c>
      <c r="B11" t="inlineStr">
        <is>
          <t>FY 2024-25</t>
        </is>
      </c>
      <c r="C11" t="inlineStr">
        <is>
          <t>Total EV</t>
        </is>
      </c>
      <c r="D11" t="inlineStr">
        <is>
          <t>20,37,831</t>
        </is>
      </c>
      <c r="E11" t="inlineStr">
        <is>
          <t>units</t>
        </is>
      </c>
      <c r="F11" t="inlineStr">
        <is>
          <t>Indian digit grouping</t>
        </is>
      </c>
      <c r="G11">
        <f>IF(LEFT(B11,2)="CY",B11,IF(ISNUMBER(SEARCH("target",B11)),"Target2030",IF(LEN(SUBSTITUTE(UPPER(B11)," ",""))=9,"FY"&amp;MID(SUBSTITUTE(B11," ",""),3,2)&amp;RIGHT(B11,2),SUBSTITUTE(UPPER(B11)," ",""))))</f>
        <v/>
      </c>
      <c r="H11">
        <f>VLOOKUP(LOWER(TRIM(C11)),Lookups!$A$2:$B$37,2,FALSE)</f>
        <v/>
      </c>
      <c r="I11">
        <f>VLOOKUP(LOWER(TRIM(E11)),Lookups!$D$2:$E$11,2,FALSE)</f>
        <v/>
      </c>
      <c r="J11">
        <f>VALUE(TRIM(SUBSTITUTE(SUBSTITUTE(SUBSTITUTE(SUBSTITUTE(SUBSTITUTE(LOWER(D11),",",""),"~",""),"&gt;",""),"almost",""),"lakh","")))*IF(ISNUMBER(SEARCH("lakh",D11)),100000,1)*IF(LOWER(E11)="million",1000000,1)</f>
        <v/>
      </c>
    </row>
    <row r="12">
      <c r="A12" t="inlineStr">
        <is>
          <t>S08</t>
        </is>
      </c>
      <c r="B12" t="inlineStr">
        <is>
          <t>FY 2024-25</t>
        </is>
      </c>
      <c r="C12" t="inlineStr">
        <is>
          <t>e-2W (high-speed)</t>
        </is>
      </c>
      <c r="D12" t="inlineStr">
        <is>
          <t>12,09,772</t>
        </is>
      </c>
      <c r="E12" t="inlineStr">
        <is>
          <t>units</t>
        </is>
      </c>
      <c r="F12" t="inlineStr"/>
      <c r="G12">
        <f>IF(LEFT(B12,2)="CY",B12,IF(ISNUMBER(SEARCH("target",B12)),"Target2030",IF(LEN(SUBSTITUTE(UPPER(B12)," ",""))=9,"FY"&amp;MID(SUBSTITUTE(B12," ",""),3,2)&amp;RIGHT(B12,2),SUBSTITUTE(UPPER(B12)," ",""))))</f>
        <v/>
      </c>
      <c r="H12">
        <f>VLOOKUP(LOWER(TRIM(C12)),Lookups!$A$2:$B$37,2,FALSE)</f>
        <v/>
      </c>
      <c r="I12">
        <f>VLOOKUP(LOWER(TRIM(E12)),Lookups!$D$2:$E$11,2,FALSE)</f>
        <v/>
      </c>
      <c r="J12">
        <f>VALUE(TRIM(SUBSTITUTE(SUBSTITUTE(SUBSTITUTE(SUBSTITUTE(SUBSTITUTE(LOWER(D12),",",""),"~",""),"&gt;",""),"almost",""),"lakh","")))*IF(ISNUMBER(SEARCH("lakh",D12)),100000,1)*IF(LOWER(E12)="million",1000000,1)</f>
        <v/>
      </c>
    </row>
    <row r="13">
      <c r="A13" t="inlineStr">
        <is>
          <t>S08</t>
        </is>
      </c>
      <c r="B13" t="inlineStr">
        <is>
          <t>FY 2024-25</t>
        </is>
      </c>
      <c r="C13" t="inlineStr">
        <is>
          <t>e-rickshaw</t>
        </is>
      </c>
      <c r="D13" t="inlineStr">
        <is>
          <t>4,74,503</t>
        </is>
      </c>
      <c r="E13" t="inlineStr">
        <is>
          <t>units</t>
        </is>
      </c>
      <c r="F13" t="inlineStr"/>
      <c r="G13">
        <f>IF(LEFT(B13,2)="CY",B13,IF(ISNUMBER(SEARCH("target",B13)),"Target2030",IF(LEN(SUBSTITUTE(UPPER(B13)," ",""))=9,"FY"&amp;MID(SUBSTITUTE(B13," ",""),3,2)&amp;RIGHT(B13,2),SUBSTITUTE(UPPER(B13)," ",""))))</f>
        <v/>
      </c>
      <c r="H13">
        <f>VLOOKUP(LOWER(TRIM(C13)),Lookups!$A$2:$B$37,2,FALSE)</f>
        <v/>
      </c>
      <c r="I13">
        <f>VLOOKUP(LOWER(TRIM(E13)),Lookups!$D$2:$E$11,2,FALSE)</f>
        <v/>
      </c>
      <c r="J13">
        <f>VALUE(TRIM(SUBSTITUTE(SUBSTITUTE(SUBSTITUTE(SUBSTITUTE(SUBSTITUTE(LOWER(D13),",",""),"~",""),"&gt;",""),"almost",""),"lakh","")))*IF(ISNUMBER(SEARCH("lakh",D13)),100000,1)*IF(LOWER(E13)="million",1000000,1)</f>
        <v/>
      </c>
    </row>
    <row r="14">
      <c r="A14" t="inlineStr">
        <is>
          <t>S08</t>
        </is>
      </c>
      <c r="B14" t="inlineStr">
        <is>
          <t>FY 2024-25</t>
        </is>
      </c>
      <c r="C14" t="inlineStr">
        <is>
          <t>e-cart</t>
        </is>
      </c>
      <c r="D14" t="inlineStr">
        <is>
          <t>65,060</t>
        </is>
      </c>
      <c r="E14" t="inlineStr">
        <is>
          <t>units</t>
        </is>
      </c>
      <c r="F14" t="inlineStr"/>
      <c r="G14">
        <f>IF(LEFT(B14,2)="CY",B14,IF(ISNUMBER(SEARCH("target",B14)),"Target2030",IF(LEN(SUBSTITUTE(UPPER(B14)," ",""))=9,"FY"&amp;MID(SUBSTITUTE(B14," ",""),3,2)&amp;RIGHT(B14,2),SUBSTITUTE(UPPER(B14)," ",""))))</f>
        <v/>
      </c>
      <c r="H14">
        <f>VLOOKUP(LOWER(TRIM(C14)),Lookups!$A$2:$B$37,2,FALSE)</f>
        <v/>
      </c>
      <c r="I14">
        <f>VLOOKUP(LOWER(TRIM(E14)),Lookups!$D$2:$E$11,2,FALSE)</f>
        <v/>
      </c>
      <c r="J14">
        <f>VALUE(TRIM(SUBSTITUTE(SUBSTITUTE(SUBSTITUTE(SUBSTITUTE(SUBSTITUTE(LOWER(D14),",",""),"~",""),"&gt;",""),"almost",""),"lakh","")))*IF(ISNUMBER(SEARCH("lakh",D14)),100000,1)*IF(LOWER(E14)="million",1000000,1)</f>
        <v/>
      </c>
    </row>
    <row r="15">
      <c r="A15" t="inlineStr">
        <is>
          <t>S08</t>
        </is>
      </c>
      <c r="B15" t="inlineStr">
        <is>
          <t>FY 2024-25</t>
        </is>
      </c>
      <c r="C15" t="inlineStr">
        <is>
          <t>e-4W</t>
        </is>
      </c>
      <c r="D15" t="inlineStr">
        <is>
          <t>1,15,800</t>
        </is>
      </c>
      <c r="E15" t="inlineStr">
        <is>
          <t>units</t>
        </is>
      </c>
      <c r="F15" t="inlineStr"/>
      <c r="G15">
        <f>IF(LEFT(B15,2)="CY",B15,IF(ISNUMBER(SEARCH("target",B15)),"Target2030",IF(LEN(SUBSTITUTE(UPPER(B15)," ",""))=9,"FY"&amp;MID(SUBSTITUTE(B15," ",""),3,2)&amp;RIGHT(B15,2),SUBSTITUTE(UPPER(B15)," ",""))))</f>
        <v/>
      </c>
      <c r="H15">
        <f>VLOOKUP(LOWER(TRIM(C15)),Lookups!$A$2:$B$37,2,FALSE)</f>
        <v/>
      </c>
      <c r="I15">
        <f>VLOOKUP(LOWER(TRIM(E15)),Lookups!$D$2:$E$11,2,FALSE)</f>
        <v/>
      </c>
      <c r="J15">
        <f>VALUE(TRIM(SUBSTITUTE(SUBSTITUTE(SUBSTITUTE(SUBSTITUTE(SUBSTITUTE(LOWER(D15),",",""),"~",""),"&gt;",""),"almost",""),"lakh","")))*IF(ISNUMBER(SEARCH("lakh",D15)),100000,1)*IF(LOWER(E15)="million",1000000,1)</f>
        <v/>
      </c>
    </row>
    <row r="16">
      <c r="A16" t="inlineStr">
        <is>
          <t>S08</t>
        </is>
      </c>
      <c r="B16" t="inlineStr">
        <is>
          <t>FY 2023-24</t>
        </is>
      </c>
      <c r="C16" t="inlineStr">
        <is>
          <t>Total EV</t>
        </is>
      </c>
      <c r="D16" t="inlineStr">
        <is>
          <t>17,61,520</t>
        </is>
      </c>
      <c r="E16" t="inlineStr">
        <is>
          <t>units</t>
        </is>
      </c>
      <c r="F16" t="inlineStr"/>
      <c r="G16">
        <f>IF(LEFT(B16,2)="CY",B16,IF(ISNUMBER(SEARCH("target",B16)),"Target2030",IF(LEN(SUBSTITUTE(UPPER(B16)," ",""))=9,"FY"&amp;MID(SUBSTITUTE(B16," ",""),3,2)&amp;RIGHT(B16,2),SUBSTITUTE(UPPER(B16)," ",""))))</f>
        <v/>
      </c>
      <c r="H16">
        <f>VLOOKUP(LOWER(TRIM(C16)),Lookups!$A$2:$B$37,2,FALSE)</f>
        <v/>
      </c>
      <c r="I16">
        <f>VLOOKUP(LOWER(TRIM(E16)),Lookups!$D$2:$E$11,2,FALSE)</f>
        <v/>
      </c>
      <c r="J16">
        <f>VALUE(TRIM(SUBSTITUTE(SUBSTITUTE(SUBSTITUTE(SUBSTITUTE(SUBSTITUTE(LOWER(D16),",",""),"~",""),"&gt;",""),"almost",""),"lakh","")))*IF(ISNUMBER(SEARCH("lakh",D16)),100000,1)*IF(LOWER(E16)="million",1000000,1)</f>
        <v/>
      </c>
    </row>
    <row r="17">
      <c r="A17" t="inlineStr">
        <is>
          <t>S08</t>
        </is>
      </c>
      <c r="B17" t="inlineStr">
        <is>
          <t>FY 2022-23</t>
        </is>
      </c>
      <c r="C17" t="inlineStr">
        <is>
          <t>Total EV</t>
        </is>
      </c>
      <c r="D17" t="inlineStr">
        <is>
          <t>12,46,634</t>
        </is>
      </c>
      <c r="E17" t="inlineStr">
        <is>
          <t>units</t>
        </is>
      </c>
      <c r="F17" t="inlineStr"/>
      <c r="G17">
        <f>IF(LEFT(B17,2)="CY",B17,IF(ISNUMBER(SEARCH("target",B17)),"Target2030",IF(LEN(SUBSTITUTE(UPPER(B17)," ",""))=9,"FY"&amp;MID(SUBSTITUTE(B17," ",""),3,2)&amp;RIGHT(B17,2),SUBSTITUTE(UPPER(B17)," ",""))))</f>
        <v/>
      </c>
      <c r="H17">
        <f>VLOOKUP(LOWER(TRIM(C17)),Lookups!$A$2:$B$37,2,FALSE)</f>
        <v/>
      </c>
      <c r="I17">
        <f>VLOOKUP(LOWER(TRIM(E17)),Lookups!$D$2:$E$11,2,FALSE)</f>
        <v/>
      </c>
      <c r="J17">
        <f>VALUE(TRIM(SUBSTITUTE(SUBSTITUTE(SUBSTITUTE(SUBSTITUTE(SUBSTITUTE(LOWER(D17),",",""),"~",""),"&gt;",""),"almost",""),"lakh","")))*IF(ISNUMBER(SEARCH("lakh",D17)),100000,1)*IF(LOWER(E17)="million",1000000,1)</f>
        <v/>
      </c>
    </row>
    <row r="18">
      <c r="A18" t="inlineStr">
        <is>
          <t>S08</t>
        </is>
      </c>
      <c r="B18" t="inlineStr">
        <is>
          <t>FY 2024-25</t>
        </is>
      </c>
      <c r="C18" t="inlineStr">
        <is>
          <t>e-3W L5M</t>
        </is>
      </c>
      <c r="D18" t="inlineStr">
        <is>
          <t>6.6</t>
        </is>
      </c>
      <c r="E18" t="inlineStr">
        <is>
          <t>% of EV sales</t>
        </is>
      </c>
      <c r="F18" t="inlineStr"/>
      <c r="G18">
        <f>IF(LEFT(B18,2)="CY",B18,IF(ISNUMBER(SEARCH("target",B18)),"Target2030",IF(LEN(SUBSTITUTE(UPPER(B18)," ",""))=9,"FY"&amp;MID(SUBSTITUTE(B18," ",""),3,2)&amp;RIGHT(B18,2),SUBSTITUTE(UPPER(B18)," ",""))))</f>
        <v/>
      </c>
      <c r="H18">
        <f>VLOOKUP(LOWER(TRIM(C18)),Lookups!$A$2:$B$37,2,FALSE)</f>
        <v/>
      </c>
      <c r="I18">
        <f>VLOOKUP(LOWER(TRIM(E18)),Lookups!$D$2:$E$11,2,FALSE)</f>
        <v/>
      </c>
      <c r="J18">
        <f>VALUE(TRIM(SUBSTITUTE(SUBSTITUTE(SUBSTITUTE(SUBSTITUTE(SUBSTITUTE(LOWER(D18),",",""),"~",""),"&gt;",""),"almost",""),"lakh","")))*IF(ISNUMBER(SEARCH("lakh",D18)),100000,1)*IF(LOWER(E18)="million",1000000,1)</f>
        <v/>
      </c>
    </row>
    <row r="19">
      <c r="A19" t="inlineStr">
        <is>
          <t>S08</t>
        </is>
      </c>
      <c r="B19" t="inlineStr">
        <is>
          <t>FY 2024-25</t>
        </is>
      </c>
      <c r="C19" t="inlineStr">
        <is>
          <t>e-2W</t>
        </is>
      </c>
      <c r="D19" t="inlineStr">
        <is>
          <t>6.2</t>
        </is>
      </c>
      <c r="E19" t="inlineStr">
        <is>
          <t>% penetration</t>
        </is>
      </c>
      <c r="F19" t="inlineStr">
        <is>
          <t>EV share of segment sales</t>
        </is>
      </c>
      <c r="G19">
        <f>IF(LEFT(B19,2)="CY",B19,IF(ISNUMBER(SEARCH("target",B19)),"Target2030",IF(LEN(SUBSTITUTE(UPPER(B19)," ",""))=9,"FY"&amp;MID(SUBSTITUTE(B19," ",""),3,2)&amp;RIGHT(B19,2),SUBSTITUTE(UPPER(B19)," ",""))))</f>
        <v/>
      </c>
      <c r="H19">
        <f>VLOOKUP(LOWER(TRIM(C19)),Lookups!$A$2:$B$37,2,FALSE)</f>
        <v/>
      </c>
      <c r="I19">
        <f>VLOOKUP(LOWER(TRIM(E19)),Lookups!$D$2:$E$11,2,FALSE)</f>
        <v/>
      </c>
      <c r="J19">
        <f>VALUE(TRIM(SUBSTITUTE(SUBSTITUTE(SUBSTITUTE(SUBSTITUTE(SUBSTITUTE(LOWER(D19),",",""),"~",""),"&gt;",""),"almost",""),"lakh","")))*IF(ISNUMBER(SEARCH("lakh",D19)),100000,1)*IF(LOWER(E19)="million",1000000,1)</f>
        <v/>
      </c>
    </row>
    <row r="20">
      <c r="A20" t="inlineStr">
        <is>
          <t>S08</t>
        </is>
      </c>
      <c r="B20" t="inlineStr">
        <is>
          <t>FY 2024-25</t>
        </is>
      </c>
      <c r="C20" t="inlineStr">
        <is>
          <t>e-4W</t>
        </is>
      </c>
      <c r="D20" t="inlineStr">
        <is>
          <t>2.7</t>
        </is>
      </c>
      <c r="E20" t="inlineStr">
        <is>
          <t>% penetration</t>
        </is>
      </c>
      <c r="F20" t="inlineStr"/>
      <c r="G20">
        <f>IF(LEFT(B20,2)="CY",B20,IF(ISNUMBER(SEARCH("target",B20)),"Target2030",IF(LEN(SUBSTITUTE(UPPER(B20)," ",""))=9,"FY"&amp;MID(SUBSTITUTE(B20," ",""),3,2)&amp;RIGHT(B20,2),SUBSTITUTE(UPPER(B20)," ",""))))</f>
        <v/>
      </c>
      <c r="H20">
        <f>VLOOKUP(LOWER(TRIM(C20)),Lookups!$A$2:$B$37,2,FALSE)</f>
        <v/>
      </c>
      <c r="I20">
        <f>VLOOKUP(LOWER(TRIM(E20)),Lookups!$D$2:$E$11,2,FALSE)</f>
        <v/>
      </c>
      <c r="J20">
        <f>VALUE(TRIM(SUBSTITUTE(SUBSTITUTE(SUBSTITUTE(SUBSTITUTE(SUBSTITUTE(LOWER(D20),",",""),"~",""),"&gt;",""),"almost",""),"lakh","")))*IF(ISNUMBER(SEARCH("lakh",D20)),100000,1)*IF(LOWER(E20)="million",1000000,1)</f>
        <v/>
      </c>
    </row>
    <row r="21">
      <c r="A21" t="inlineStr">
        <is>
          <t>S08</t>
        </is>
      </c>
      <c r="B21" t="inlineStr">
        <is>
          <t>FY 2024-25</t>
        </is>
      </c>
      <c r="C21" t="inlineStr">
        <is>
          <t>e-3W L5M</t>
        </is>
      </c>
      <c r="D21" t="inlineStr">
        <is>
          <t>22.8</t>
        </is>
      </c>
      <c r="E21" t="inlineStr">
        <is>
          <t>% penetration</t>
        </is>
      </c>
      <c r="F21" t="inlineStr"/>
      <c r="G21">
        <f>IF(LEFT(B21,2)="CY",B21,IF(ISNUMBER(SEARCH("target",B21)),"Target2030",IF(LEN(SUBSTITUTE(UPPER(B21)," ",""))=9,"FY"&amp;MID(SUBSTITUTE(B21," ",""),3,2)&amp;RIGHT(B21,2),SUBSTITUTE(UPPER(B21)," ",""))))</f>
        <v/>
      </c>
      <c r="H21">
        <f>VLOOKUP(LOWER(TRIM(C21)),Lookups!$A$2:$B$37,2,FALSE)</f>
        <v/>
      </c>
      <c r="I21">
        <f>VLOOKUP(LOWER(TRIM(E21)),Lookups!$D$2:$E$11,2,FALSE)</f>
        <v/>
      </c>
      <c r="J21">
        <f>VALUE(TRIM(SUBSTITUTE(SUBSTITUTE(SUBSTITUTE(SUBSTITUTE(SUBSTITUTE(LOWER(D21),",",""),"~",""),"&gt;",""),"almost",""),"lakh","")))*IF(ISNUMBER(SEARCH("lakh",D21)),100000,1)*IF(LOWER(E21)="million",1000000,1)</f>
        <v/>
      </c>
    </row>
    <row r="22">
      <c r="A22" t="inlineStr">
        <is>
          <t>S08</t>
        </is>
      </c>
      <c r="B22" t="inlineStr">
        <is>
          <t>FY 2024-25</t>
        </is>
      </c>
      <c r="C22" t="inlineStr">
        <is>
          <t>e-3W L5N</t>
        </is>
      </c>
      <c r="D22" t="inlineStr">
        <is>
          <t>21.5</t>
        </is>
      </c>
      <c r="E22" t="inlineStr">
        <is>
          <t>% penetration</t>
        </is>
      </c>
      <c r="F22" t="inlineStr"/>
      <c r="G22">
        <f>IF(LEFT(B22,2)="CY",B22,IF(ISNUMBER(SEARCH("target",B22)),"Target2030",IF(LEN(SUBSTITUTE(UPPER(B22)," ",""))=9,"FY"&amp;MID(SUBSTITUTE(B22," ",""),3,2)&amp;RIGHT(B22,2),SUBSTITUTE(UPPER(B22)," ",""))))</f>
        <v/>
      </c>
      <c r="H22">
        <f>VLOOKUP(LOWER(TRIM(C22)),Lookups!$A$2:$B$37,2,FALSE)</f>
        <v/>
      </c>
      <c r="I22">
        <f>VLOOKUP(LOWER(TRIM(E22)),Lookups!$D$2:$E$11,2,FALSE)</f>
        <v/>
      </c>
      <c r="J22">
        <f>VALUE(TRIM(SUBSTITUTE(SUBSTITUTE(SUBSTITUTE(SUBSTITUTE(SUBSTITUTE(LOWER(D22),",",""),"~",""),"&gt;",""),"almost",""),"lakh","")))*IF(ISNUMBER(SEARCH("lakh",D22)),100000,1)*IF(LOWER(E22)="million",1000000,1)</f>
        <v/>
      </c>
    </row>
    <row r="23">
      <c r="A23" t="inlineStr">
        <is>
          <t>S08</t>
        </is>
      </c>
      <c r="B23" t="inlineStr">
        <is>
          <t>FY 2024-25</t>
        </is>
      </c>
      <c r="C23" t="inlineStr">
        <is>
          <t>Total EV</t>
        </is>
      </c>
      <c r="D23" t="inlineStr">
        <is>
          <t>7.8</t>
        </is>
      </c>
      <c r="E23" t="inlineStr">
        <is>
          <t>% penetration</t>
        </is>
      </c>
      <c r="F23" t="inlineStr"/>
      <c r="G23">
        <f>IF(LEFT(B23,2)="CY",B23,IF(ISNUMBER(SEARCH("target",B23)),"Target2030",IF(LEN(SUBSTITUTE(UPPER(B23)," ",""))=9,"FY"&amp;MID(SUBSTITUTE(B23," ",""),3,2)&amp;RIGHT(B23,2),SUBSTITUTE(UPPER(B23)," ",""))))</f>
        <v/>
      </c>
      <c r="H23">
        <f>VLOOKUP(LOWER(TRIM(C23)),Lookups!$A$2:$B$37,2,FALSE)</f>
        <v/>
      </c>
      <c r="I23">
        <f>VLOOKUP(LOWER(TRIM(E23)),Lookups!$D$2:$E$11,2,FALSE)</f>
        <v/>
      </c>
      <c r="J23">
        <f>VALUE(TRIM(SUBSTITUTE(SUBSTITUTE(SUBSTITUTE(SUBSTITUTE(SUBSTITUTE(LOWER(D23),",",""),"~",""),"&gt;",""),"almost",""),"lakh","")))*IF(ISNUMBER(SEARCH("lakh",D23)),100000,1)*IF(LOWER(E23)="million",1000000,1)</f>
        <v/>
      </c>
    </row>
    <row r="24">
      <c r="A24" t="inlineStr">
        <is>
          <t>S09</t>
        </is>
      </c>
      <c r="B24" t="inlineStr">
        <is>
          <t>FY2026</t>
        </is>
      </c>
      <c r="C24" t="inlineStr">
        <is>
          <t>Total EV</t>
        </is>
      </c>
      <c r="D24" t="inlineStr">
        <is>
          <t>&gt;25 lakh</t>
        </is>
      </c>
      <c r="E24" t="inlineStr">
        <is>
          <t>units</t>
        </is>
      </c>
      <c r="F24" t="inlineStr">
        <is>
          <t>text says 'surpassed 25 lakh'</t>
        </is>
      </c>
      <c r="G24">
        <f>IF(LEFT(B24,2)="CY",B24,IF(ISNUMBER(SEARCH("target",B24)),"Target2030",IF(LEN(SUBSTITUTE(UPPER(B24)," ",""))=9,"FY"&amp;MID(SUBSTITUTE(B24," ",""),3,2)&amp;RIGHT(B24,2),SUBSTITUTE(UPPER(B24)," ",""))))</f>
        <v/>
      </c>
      <c r="H24">
        <f>VLOOKUP(LOWER(TRIM(C24)),Lookups!$A$2:$B$37,2,FALSE)</f>
        <v/>
      </c>
      <c r="I24">
        <f>VLOOKUP(LOWER(TRIM(E24)),Lookups!$D$2:$E$11,2,FALSE)</f>
        <v/>
      </c>
      <c r="J24">
        <f>VALUE(TRIM(SUBSTITUTE(SUBSTITUTE(SUBSTITUTE(SUBSTITUTE(SUBSTITUTE(LOWER(D24),",",""),"~",""),"&gt;",""),"almost",""),"lakh","")))*IF(ISNUMBER(SEARCH("lakh",D24)),100000,1)*IF(LOWER(E24)="million",1000000,1)</f>
        <v/>
      </c>
    </row>
    <row r="25">
      <c r="A25" t="inlineStr">
        <is>
          <t>S09</t>
        </is>
      </c>
      <c r="B25" t="inlineStr">
        <is>
          <t>FY2026</t>
        </is>
      </c>
      <c r="C25" t="inlineStr">
        <is>
          <t>Electric 2W</t>
        </is>
      </c>
      <c r="D25" t="inlineStr">
        <is>
          <t>57.8</t>
        </is>
      </c>
      <c r="E25" t="inlineStr">
        <is>
          <t>% of EV sales</t>
        </is>
      </c>
      <c r="F25" t="inlineStr"/>
      <c r="G25">
        <f>IF(LEFT(B25,2)="CY",B25,IF(ISNUMBER(SEARCH("target",B25)),"Target2030",IF(LEN(SUBSTITUTE(UPPER(B25)," ",""))=9,"FY"&amp;MID(SUBSTITUTE(B25," ",""),3,2)&amp;RIGHT(B25,2),SUBSTITUTE(UPPER(B25)," ",""))))</f>
        <v/>
      </c>
      <c r="H25">
        <f>VLOOKUP(LOWER(TRIM(C25)),Lookups!$A$2:$B$37,2,FALSE)</f>
        <v/>
      </c>
      <c r="I25">
        <f>VLOOKUP(LOWER(TRIM(E25)),Lookups!$D$2:$E$11,2,FALSE)</f>
        <v/>
      </c>
      <c r="J25">
        <f>VALUE(TRIM(SUBSTITUTE(SUBSTITUTE(SUBSTITUTE(SUBSTITUTE(SUBSTITUTE(LOWER(D25),",",""),"~",""),"&gt;",""),"almost",""),"lakh","")))*IF(ISNUMBER(SEARCH("lakh",D25)),100000,1)*IF(LOWER(E25)="million",1000000,1)</f>
        <v/>
      </c>
    </row>
    <row r="26">
      <c r="A26" t="inlineStr">
        <is>
          <t>S09</t>
        </is>
      </c>
      <c r="B26" t="inlineStr">
        <is>
          <t>FY2026</t>
        </is>
      </c>
      <c r="C26" t="inlineStr">
        <is>
          <t>E3W passenger</t>
        </is>
      </c>
      <c r="D26" t="inlineStr">
        <is>
          <t>~29</t>
        </is>
      </c>
      <c r="E26" t="inlineStr">
        <is>
          <t>% of EV sales</t>
        </is>
      </c>
      <c r="F26" t="inlineStr"/>
      <c r="G26">
        <f>IF(LEFT(B26,2)="CY",B26,IF(ISNUMBER(SEARCH("target",B26)),"Target2030",IF(LEN(SUBSTITUTE(UPPER(B26)," ",""))=9,"FY"&amp;MID(SUBSTITUTE(B26," ",""),3,2)&amp;RIGHT(B26,2),SUBSTITUTE(UPPER(B26)," ",""))))</f>
        <v/>
      </c>
      <c r="H26">
        <f>VLOOKUP(LOWER(TRIM(C26)),Lookups!$A$2:$B$37,2,FALSE)</f>
        <v/>
      </c>
      <c r="I26">
        <f>VLOOKUP(LOWER(TRIM(E26)),Lookups!$D$2:$E$11,2,FALSE)</f>
        <v/>
      </c>
      <c r="J26">
        <f>VALUE(TRIM(SUBSTITUTE(SUBSTITUTE(SUBSTITUTE(SUBSTITUTE(SUBSTITUTE(LOWER(D26),",",""),"~",""),"&gt;",""),"almost",""),"lakh","")))*IF(ISNUMBER(SEARCH("lakh",D26)),100000,1)*IF(LOWER(E26)="million",1000000,1)</f>
        <v/>
      </c>
    </row>
    <row r="27">
      <c r="A27" t="inlineStr">
        <is>
          <t>S09</t>
        </is>
      </c>
      <c r="B27" t="inlineStr">
        <is>
          <t>FY2026</t>
        </is>
      </c>
      <c r="C27" t="inlineStr">
        <is>
          <t>Cars (4W)</t>
        </is>
      </c>
      <c r="D27" t="inlineStr">
        <is>
          <t>~86</t>
        </is>
      </c>
      <c r="E27" t="inlineStr">
        <is>
          <t>% YoY growth</t>
        </is>
      </c>
      <c r="F27" t="inlineStr"/>
      <c r="G27">
        <f>IF(LEFT(B27,2)="CY",B27,IF(ISNUMBER(SEARCH("target",B27)),"Target2030",IF(LEN(SUBSTITUTE(UPPER(B27)," ",""))=9,"FY"&amp;MID(SUBSTITUTE(B27," ",""),3,2)&amp;RIGHT(B27,2),SUBSTITUTE(UPPER(B27)," ",""))))</f>
        <v/>
      </c>
      <c r="H27">
        <f>VLOOKUP(LOWER(TRIM(C27)),Lookups!$A$2:$B$37,2,FALSE)</f>
        <v/>
      </c>
      <c r="I27">
        <f>VLOOKUP(LOWER(TRIM(E27)),Lookups!$D$2:$E$11,2,FALSE)</f>
        <v/>
      </c>
      <c r="J27">
        <f>VALUE(TRIM(SUBSTITUTE(SUBSTITUTE(SUBSTITUTE(SUBSTITUTE(SUBSTITUTE(LOWER(D27),",",""),"~",""),"&gt;",""),"almost",""),"lakh","")))*IF(ISNUMBER(SEARCH("lakh",D27)),100000,1)*IF(LOWER(E27)="million",1000000,1)</f>
        <v/>
      </c>
    </row>
    <row r="28">
      <c r="A28" t="inlineStr">
        <is>
          <t>S09</t>
        </is>
      </c>
      <c r="B28" t="inlineStr">
        <is>
          <t>FY2026</t>
        </is>
      </c>
      <c r="C28" t="inlineStr">
        <is>
          <t>Buses</t>
        </is>
      </c>
      <c r="D28" t="inlineStr">
        <is>
          <t>~48</t>
        </is>
      </c>
      <c r="E28" t="inlineStr">
        <is>
          <t>% YoY growth</t>
        </is>
      </c>
      <c r="F28" t="inlineStr"/>
      <c r="G28">
        <f>IF(LEFT(B28,2)="CY",B28,IF(ISNUMBER(SEARCH("target",B28)),"Target2030",IF(LEN(SUBSTITUTE(UPPER(B28)," ",""))=9,"FY"&amp;MID(SUBSTITUTE(B28," ",""),3,2)&amp;RIGHT(B28,2),SUBSTITUTE(UPPER(B28)," ",""))))</f>
        <v/>
      </c>
      <c r="H28">
        <f>VLOOKUP(LOWER(TRIM(C28)),Lookups!$A$2:$B$37,2,FALSE)</f>
        <v/>
      </c>
      <c r="I28">
        <f>VLOOKUP(LOWER(TRIM(E28)),Lookups!$D$2:$E$11,2,FALSE)</f>
        <v/>
      </c>
      <c r="J28">
        <f>VALUE(TRIM(SUBSTITUTE(SUBSTITUTE(SUBSTITUTE(SUBSTITUTE(SUBSTITUTE(LOWER(D28),",",""),"~",""),"&gt;",""),"almost",""),"lakh","")))*IF(ISNUMBER(SEARCH("lakh",D28)),100000,1)*IF(LOWER(E28)="million",1000000,1)</f>
        <v/>
      </c>
    </row>
    <row r="29">
      <c r="A29" t="inlineStr">
        <is>
          <t>S10</t>
        </is>
      </c>
      <c r="B29" t="inlineStr">
        <is>
          <t>FY2025-26</t>
        </is>
      </c>
      <c r="C29" t="inlineStr">
        <is>
          <t>Total EV</t>
        </is>
      </c>
      <c r="D29" t="inlineStr">
        <is>
          <t>2.55</t>
        </is>
      </c>
      <c r="E29" t="inlineStr">
        <is>
          <t>million</t>
        </is>
      </c>
      <c r="F29" t="inlineStr"/>
      <c r="G29">
        <f>IF(LEFT(B29,2)="CY",B29,IF(ISNUMBER(SEARCH("target",B29)),"Target2030",IF(LEN(SUBSTITUTE(UPPER(B29)," ",""))=9,"FY"&amp;MID(SUBSTITUTE(B29," ",""),3,2)&amp;RIGHT(B29,2),SUBSTITUTE(UPPER(B29)," ",""))))</f>
        <v/>
      </c>
      <c r="H29">
        <f>VLOOKUP(LOWER(TRIM(C29)),Lookups!$A$2:$B$37,2,FALSE)</f>
        <v/>
      </c>
      <c r="I29">
        <f>VLOOKUP(LOWER(TRIM(E29)),Lookups!$D$2:$E$11,2,FALSE)</f>
        <v/>
      </c>
      <c r="J29">
        <f>VALUE(TRIM(SUBSTITUTE(SUBSTITUTE(SUBSTITUTE(SUBSTITUTE(SUBSTITUTE(LOWER(D29),",",""),"~",""),"&gt;",""),"almost",""),"lakh","")))*IF(ISNUMBER(SEARCH("lakh",D29)),100000,1)*IF(LOWER(E29)="million",1000000,1)</f>
        <v/>
      </c>
    </row>
    <row r="30">
      <c r="A30" t="inlineStr">
        <is>
          <t>S10</t>
        </is>
      </c>
      <c r="B30" t="inlineStr">
        <is>
          <t>FY2025-26</t>
        </is>
      </c>
      <c r="C30" t="inlineStr">
        <is>
          <t>All vehicles</t>
        </is>
      </c>
      <c r="D30" t="inlineStr">
        <is>
          <t>30.84</t>
        </is>
      </c>
      <c r="E30" t="inlineStr">
        <is>
          <t>million</t>
        </is>
      </c>
      <c r="F30" t="inlineStr">
        <is>
          <t>total registrations</t>
        </is>
      </c>
      <c r="G30">
        <f>IF(LEFT(B30,2)="CY",B30,IF(ISNUMBER(SEARCH("target",B30)),"Target2030",IF(LEN(SUBSTITUTE(UPPER(B30)," ",""))=9,"FY"&amp;MID(SUBSTITUTE(B30," ",""),3,2)&amp;RIGHT(B30,2),SUBSTITUTE(UPPER(B30)," ",""))))</f>
        <v/>
      </c>
      <c r="H30">
        <f>VLOOKUP(LOWER(TRIM(C30)),Lookups!$A$2:$B$37,2,FALSE)</f>
        <v/>
      </c>
      <c r="I30">
        <f>VLOOKUP(LOWER(TRIM(E30)),Lookups!$D$2:$E$11,2,FALSE)</f>
        <v/>
      </c>
      <c r="J30">
        <f>VALUE(TRIM(SUBSTITUTE(SUBSTITUTE(SUBSTITUTE(SUBSTITUTE(SUBSTITUTE(LOWER(D30),",",""),"~",""),"&gt;",""),"almost",""),"lakh","")))*IF(ISNUMBER(SEARCH("lakh",D30)),100000,1)*IF(LOWER(E30)="million",1000000,1)</f>
        <v/>
      </c>
    </row>
    <row r="31">
      <c r="A31" t="inlineStr">
        <is>
          <t>S10</t>
        </is>
      </c>
      <c r="B31" t="inlineStr">
        <is>
          <t>CY2025</t>
        </is>
      </c>
      <c r="C31" t="inlineStr">
        <is>
          <t>Total EV</t>
        </is>
      </c>
      <c r="D31" t="inlineStr">
        <is>
          <t>2.6</t>
        </is>
      </c>
      <c r="E31" t="inlineStr">
        <is>
          <t>million</t>
        </is>
      </c>
      <c r="F31" t="inlineStr">
        <is>
          <t>IESA/CES market report</t>
        </is>
      </c>
      <c r="G31">
        <f>IF(LEFT(B31,2)="CY",B31,IF(ISNUMBER(SEARCH("target",B31)),"Target2030",IF(LEN(SUBSTITUTE(UPPER(B31)," ",""))=9,"FY"&amp;MID(SUBSTITUTE(B31," ",""),3,2)&amp;RIGHT(B31,2),SUBSTITUTE(UPPER(B31)," ",""))))</f>
        <v/>
      </c>
      <c r="H31">
        <f>VLOOKUP(LOWER(TRIM(C31)),Lookups!$A$2:$B$37,2,FALSE)</f>
        <v/>
      </c>
      <c r="I31">
        <f>VLOOKUP(LOWER(TRIM(E31)),Lookups!$D$2:$E$11,2,FALSE)</f>
        <v/>
      </c>
      <c r="J31">
        <f>VALUE(TRIM(SUBSTITUTE(SUBSTITUTE(SUBSTITUTE(SUBSTITUTE(SUBSTITUTE(LOWER(D31),",",""),"~",""),"&gt;",""),"almost",""),"lakh","")))*IF(ISNUMBER(SEARCH("lakh",D31)),100000,1)*IF(LOWER(E31)="million",1000000,1)</f>
        <v/>
      </c>
    </row>
    <row r="32">
      <c r="A32" t="inlineStr">
        <is>
          <t>S10</t>
        </is>
      </c>
      <c r="B32" t="inlineStr">
        <is>
          <t>CY2024</t>
        </is>
      </c>
      <c r="C32" t="inlineStr">
        <is>
          <t>Total EV</t>
        </is>
      </c>
      <c r="D32" t="inlineStr">
        <is>
          <t>2.0</t>
        </is>
      </c>
      <c r="E32" t="inlineStr">
        <is>
          <t>million</t>
        </is>
      </c>
      <c r="F32" t="inlineStr"/>
      <c r="G32">
        <f>IF(LEFT(B32,2)="CY",B32,IF(ISNUMBER(SEARCH("target",B32)),"Target2030",IF(LEN(SUBSTITUTE(UPPER(B32)," ",""))=9,"FY"&amp;MID(SUBSTITUTE(B32," ",""),3,2)&amp;RIGHT(B32,2),SUBSTITUTE(UPPER(B32)," ",""))))</f>
        <v/>
      </c>
      <c r="H32">
        <f>VLOOKUP(LOWER(TRIM(C32)),Lookups!$A$2:$B$37,2,FALSE)</f>
        <v/>
      </c>
      <c r="I32">
        <f>VLOOKUP(LOWER(TRIM(E32)),Lookups!$D$2:$E$11,2,FALSE)</f>
        <v/>
      </c>
      <c r="J32">
        <f>VALUE(TRIM(SUBSTITUTE(SUBSTITUTE(SUBSTITUTE(SUBSTITUTE(SUBSTITUTE(LOWER(D32),",",""),"~",""),"&gt;",""),"almost",""),"lakh","")))*IF(ISNUMBER(SEARCH("lakh",D32)),100000,1)*IF(LOWER(E32)="million",1000000,1)</f>
        <v/>
      </c>
    </row>
    <row r="33">
      <c r="A33" t="inlineStr">
        <is>
          <t>S10</t>
        </is>
      </c>
      <c r="B33" t="inlineStr">
        <is>
          <t>CY2025</t>
        </is>
      </c>
      <c r="C33" t="inlineStr">
        <is>
          <t>Electric two-wheelers</t>
        </is>
      </c>
      <c r="D33" t="inlineStr">
        <is>
          <t>60.1</t>
        </is>
      </c>
      <c r="E33" t="inlineStr">
        <is>
          <t>% of EV sales</t>
        </is>
      </c>
      <c r="F33" t="inlineStr"/>
      <c r="G33">
        <f>IF(LEFT(B33,2)="CY",B33,IF(ISNUMBER(SEARCH("target",B33)),"Target2030",IF(LEN(SUBSTITUTE(UPPER(B33)," ",""))=9,"FY"&amp;MID(SUBSTITUTE(B33," ",""),3,2)&amp;RIGHT(B33,2),SUBSTITUTE(UPPER(B33)," ",""))))</f>
        <v/>
      </c>
      <c r="H33">
        <f>VLOOKUP(LOWER(TRIM(C33)),Lookups!$A$2:$B$37,2,FALSE)</f>
        <v/>
      </c>
      <c r="I33">
        <f>VLOOKUP(LOWER(TRIM(E33)),Lookups!$D$2:$E$11,2,FALSE)</f>
        <v/>
      </c>
      <c r="J33">
        <f>VALUE(TRIM(SUBSTITUTE(SUBSTITUTE(SUBSTITUTE(SUBSTITUTE(SUBSTITUTE(LOWER(D33),",",""),"~",""),"&gt;",""),"almost",""),"lakh","")))*IF(ISNUMBER(SEARCH("lakh",D33)),100000,1)*IF(LOWER(E33)="million",1000000,1)</f>
        <v/>
      </c>
    </row>
    <row r="34">
      <c r="A34" t="inlineStr">
        <is>
          <t>S10</t>
        </is>
      </c>
      <c r="B34" t="inlineStr">
        <is>
          <t>CY2025</t>
        </is>
      </c>
      <c r="C34" t="inlineStr">
        <is>
          <t>Electric three-wheelers</t>
        </is>
      </c>
      <c r="D34" t="inlineStr">
        <is>
          <t>31.6</t>
        </is>
      </c>
      <c r="E34" t="inlineStr">
        <is>
          <t>% of EV sales</t>
        </is>
      </c>
      <c r="F34" t="inlineStr"/>
      <c r="G34">
        <f>IF(LEFT(B34,2)="CY",B34,IF(ISNUMBER(SEARCH("target",B34)),"Target2030",IF(LEN(SUBSTITUTE(UPPER(B34)," ",""))=9,"FY"&amp;MID(SUBSTITUTE(B34," ",""),3,2)&amp;RIGHT(B34,2),SUBSTITUTE(UPPER(B34)," ",""))))</f>
        <v/>
      </c>
      <c r="H34">
        <f>VLOOKUP(LOWER(TRIM(C34)),Lookups!$A$2:$B$37,2,FALSE)</f>
        <v/>
      </c>
      <c r="I34">
        <f>VLOOKUP(LOWER(TRIM(E34)),Lookups!$D$2:$E$11,2,FALSE)</f>
        <v/>
      </c>
      <c r="J34">
        <f>VALUE(TRIM(SUBSTITUTE(SUBSTITUTE(SUBSTITUTE(SUBSTITUTE(SUBSTITUTE(LOWER(D34),",",""),"~",""),"&gt;",""),"almost",""),"lakh","")))*IF(ISNUMBER(SEARCH("lakh",D34)),100000,1)*IF(LOWER(E34)="million",1000000,1)</f>
        <v/>
      </c>
    </row>
    <row r="35">
      <c r="A35" t="inlineStr">
        <is>
          <t>S10</t>
        </is>
      </c>
      <c r="B35" t="inlineStr">
        <is>
          <t>CY2025</t>
        </is>
      </c>
      <c r="C35" t="inlineStr">
        <is>
          <t>Electric four-wheelers</t>
        </is>
      </c>
      <c r="D35" t="inlineStr">
        <is>
          <t>7.7</t>
        </is>
      </c>
      <c r="E35" t="inlineStr">
        <is>
          <t>% of EV sales</t>
        </is>
      </c>
      <c r="F35" t="inlineStr"/>
      <c r="G35">
        <f>IF(LEFT(B35,2)="CY",B35,IF(ISNUMBER(SEARCH("target",B35)),"Target2030",IF(LEN(SUBSTITUTE(UPPER(B35)," ",""))=9,"FY"&amp;MID(SUBSTITUTE(B35," ",""),3,2)&amp;RIGHT(B35,2),SUBSTITUTE(UPPER(B35)," ",""))))</f>
        <v/>
      </c>
      <c r="H35">
        <f>VLOOKUP(LOWER(TRIM(C35)),Lookups!$A$2:$B$37,2,FALSE)</f>
        <v/>
      </c>
      <c r="I35">
        <f>VLOOKUP(LOWER(TRIM(E35)),Lookups!$D$2:$E$11,2,FALSE)</f>
        <v/>
      </c>
      <c r="J35">
        <f>VALUE(TRIM(SUBSTITUTE(SUBSTITUTE(SUBSTITUTE(SUBSTITUTE(SUBSTITUTE(LOWER(D35),",",""),"~",""),"&gt;",""),"almost",""),"lakh","")))*IF(ISNUMBER(SEARCH("lakh",D35)),100000,1)*IF(LOWER(E35)="million",1000000,1)</f>
        <v/>
      </c>
    </row>
    <row r="36">
      <c r="A36" t="inlineStr">
        <is>
          <t>S10</t>
        </is>
      </c>
      <c r="B36" t="inlineStr">
        <is>
          <t>CY2025</t>
        </is>
      </c>
      <c r="C36" t="inlineStr">
        <is>
          <t>Electric buses</t>
        </is>
      </c>
      <c r="D36" t="inlineStr">
        <is>
          <t>0.2</t>
        </is>
      </c>
      <c r="E36" t="inlineStr">
        <is>
          <t>% of EV sales</t>
        </is>
      </c>
      <c r="F36" t="inlineStr"/>
      <c r="G36">
        <f>IF(LEFT(B36,2)="CY",B36,IF(ISNUMBER(SEARCH("target",B36)),"Target2030",IF(LEN(SUBSTITUTE(UPPER(B36)," ",""))=9,"FY"&amp;MID(SUBSTITUTE(B36," ",""),3,2)&amp;RIGHT(B36,2),SUBSTITUTE(UPPER(B36)," ",""))))</f>
        <v/>
      </c>
      <c r="H36">
        <f>VLOOKUP(LOWER(TRIM(C36)),Lookups!$A$2:$B$37,2,FALSE)</f>
        <v/>
      </c>
      <c r="I36">
        <f>VLOOKUP(LOWER(TRIM(E36)),Lookups!$D$2:$E$11,2,FALSE)</f>
        <v/>
      </c>
      <c r="J36">
        <f>VALUE(TRIM(SUBSTITUTE(SUBSTITUTE(SUBSTITUTE(SUBSTITUTE(SUBSTITUTE(LOWER(D36),",",""),"~",""),"&gt;",""),"almost",""),"lakh","")))*IF(ISNUMBER(SEARCH("lakh",D36)),100000,1)*IF(LOWER(E36)="million",1000000,1)</f>
        <v/>
      </c>
    </row>
    <row r="37">
      <c r="A37" t="inlineStr">
        <is>
          <t>S10</t>
        </is>
      </c>
      <c r="B37" t="inlineStr">
        <is>
          <t>CY2025</t>
        </is>
      </c>
      <c r="C37" t="inlineStr">
        <is>
          <t>Electric trucks</t>
        </is>
      </c>
      <c r="D37" t="inlineStr">
        <is>
          <t>0.4</t>
        </is>
      </c>
      <c r="E37" t="inlineStr">
        <is>
          <t>% of EV sales</t>
        </is>
      </c>
      <c r="F37" t="inlineStr"/>
      <c r="G37">
        <f>IF(LEFT(B37,2)="CY",B37,IF(ISNUMBER(SEARCH("target",B37)),"Target2030",IF(LEN(SUBSTITUTE(UPPER(B37)," ",""))=9,"FY"&amp;MID(SUBSTITUTE(B37," ",""),3,2)&amp;RIGHT(B37,2),SUBSTITUTE(UPPER(B37)," ",""))))</f>
        <v/>
      </c>
      <c r="H37">
        <f>VLOOKUP(LOWER(TRIM(C37)),Lookups!$A$2:$B$37,2,FALSE)</f>
        <v/>
      </c>
      <c r="I37">
        <f>VLOOKUP(LOWER(TRIM(E37)),Lookups!$D$2:$E$11,2,FALSE)</f>
        <v/>
      </c>
      <c r="J37">
        <f>VALUE(TRIM(SUBSTITUTE(SUBSTITUTE(SUBSTITUTE(SUBSTITUTE(SUBSTITUTE(LOWER(D37),",",""),"~",""),"&gt;",""),"almost",""),"lakh","")))*IF(ISNUMBER(SEARCH("lakh",D37)),100000,1)*IF(LOWER(E37)="million",1000000,1)</f>
        <v/>
      </c>
    </row>
    <row r="38">
      <c r="A38" t="inlineStr">
        <is>
          <t>S10</t>
        </is>
      </c>
      <c r="B38" t="inlineStr">
        <is>
          <t>CY2025</t>
        </is>
      </c>
      <c r="C38" t="inlineStr">
        <is>
          <t>Battery demand</t>
        </is>
      </c>
      <c r="D38" t="inlineStr">
        <is>
          <t>19</t>
        </is>
      </c>
      <c r="E38" t="inlineStr">
        <is>
          <t>GWh</t>
        </is>
      </c>
      <c r="F38" t="inlineStr">
        <is>
          <t>all EV segments</t>
        </is>
      </c>
      <c r="G38">
        <f>IF(LEFT(B38,2)="CY",B38,IF(ISNUMBER(SEARCH("target",B38)),"Target2030",IF(LEN(SUBSTITUTE(UPPER(B38)," ",""))=9,"FY"&amp;MID(SUBSTITUTE(B38," ",""),3,2)&amp;RIGHT(B38,2),SUBSTITUTE(UPPER(B38)," ",""))))</f>
        <v/>
      </c>
      <c r="H38">
        <f>VLOOKUP(LOWER(TRIM(C38)),Lookups!$A$2:$B$37,2,FALSE)</f>
        <v/>
      </c>
      <c r="I38">
        <f>VLOOKUP(LOWER(TRIM(E38)),Lookups!$D$2:$E$11,2,FALSE)</f>
        <v/>
      </c>
      <c r="J38">
        <f>VALUE(TRIM(SUBSTITUTE(SUBSTITUTE(SUBSTITUTE(SUBSTITUTE(SUBSTITUTE(LOWER(D38),",",""),"~",""),"&gt;",""),"almost",""),"lakh","")))*IF(ISNUMBER(SEARCH("lakh",D38)),100000,1)*IF(LOWER(E38)="million",1000000,1)</f>
        <v/>
      </c>
    </row>
    <row r="39">
      <c r="A39" t="inlineStr">
        <is>
          <t>S10</t>
        </is>
      </c>
      <c r="B39" t="inlineStr">
        <is>
          <t>CY2024</t>
        </is>
      </c>
      <c r="C39" t="inlineStr">
        <is>
          <t>Battery demand</t>
        </is>
      </c>
      <c r="D39" t="inlineStr">
        <is>
          <t>13</t>
        </is>
      </c>
      <c r="E39" t="inlineStr">
        <is>
          <t>GWh</t>
        </is>
      </c>
      <c r="F39" t="inlineStr"/>
      <c r="G39">
        <f>IF(LEFT(B39,2)="CY",B39,IF(ISNUMBER(SEARCH("target",B39)),"Target2030",IF(LEN(SUBSTITUTE(UPPER(B39)," ",""))=9,"FY"&amp;MID(SUBSTITUTE(B39," ",""),3,2)&amp;RIGHT(B39,2),SUBSTITUTE(UPPER(B39)," ",""))))</f>
        <v/>
      </c>
      <c r="H39">
        <f>VLOOKUP(LOWER(TRIM(C39)),Lookups!$A$2:$B$37,2,FALSE)</f>
        <v/>
      </c>
      <c r="I39">
        <f>VLOOKUP(LOWER(TRIM(E39)),Lookups!$D$2:$E$11,2,FALSE)</f>
        <v/>
      </c>
      <c r="J39">
        <f>VALUE(TRIM(SUBSTITUTE(SUBSTITUTE(SUBSTITUTE(SUBSTITUTE(SUBSTITUTE(LOWER(D39),",",""),"~",""),"&gt;",""),"almost",""),"lakh","")))*IF(ISNUMBER(SEARCH("lakh",D39)),100000,1)*IF(LOWER(E39)="million",1000000,1)</f>
        <v/>
      </c>
    </row>
    <row r="40">
      <c r="A40" t="inlineStr">
        <is>
          <t>S10</t>
        </is>
      </c>
      <c r="B40" t="inlineStr">
        <is>
          <t>CY2025</t>
        </is>
      </c>
      <c r="C40" t="inlineStr">
        <is>
          <t>Four-wheelers battery share</t>
        </is>
      </c>
      <c r="D40" t="inlineStr">
        <is>
          <t>40</t>
        </is>
      </c>
      <c r="E40" t="inlineStr">
        <is>
          <t>% of GWh</t>
        </is>
      </c>
      <c r="F40" t="inlineStr"/>
      <c r="G40">
        <f>IF(LEFT(B40,2)="CY",B40,IF(ISNUMBER(SEARCH("target",B40)),"Target2030",IF(LEN(SUBSTITUTE(UPPER(B40)," ",""))=9,"FY"&amp;MID(SUBSTITUTE(B40," ",""),3,2)&amp;RIGHT(B40,2),SUBSTITUTE(UPPER(B40)," ",""))))</f>
        <v/>
      </c>
      <c r="H40">
        <f>VLOOKUP(LOWER(TRIM(C40)),Lookups!$A$2:$B$37,2,FALSE)</f>
        <v/>
      </c>
      <c r="I40">
        <f>VLOOKUP(LOWER(TRIM(E40)),Lookups!$D$2:$E$11,2,FALSE)</f>
        <v/>
      </c>
      <c r="J40">
        <f>VALUE(TRIM(SUBSTITUTE(SUBSTITUTE(SUBSTITUTE(SUBSTITUTE(SUBSTITUTE(LOWER(D40),",",""),"~",""),"&gt;",""),"almost",""),"lakh","")))*IF(ISNUMBER(SEARCH("lakh",D40)),100000,1)*IF(LOWER(E40)="million",1000000,1)</f>
        <v/>
      </c>
    </row>
    <row r="41">
      <c r="A41" t="inlineStr">
        <is>
          <t>S10</t>
        </is>
      </c>
      <c r="B41" t="inlineStr">
        <is>
          <t>CY2025</t>
        </is>
      </c>
      <c r="C41" t="inlineStr">
        <is>
          <t>Three-wheelers battery share</t>
        </is>
      </c>
      <c r="D41" t="inlineStr">
        <is>
          <t>27</t>
        </is>
      </c>
      <c r="E41" t="inlineStr">
        <is>
          <t>% of GWh</t>
        </is>
      </c>
      <c r="F41" t="inlineStr"/>
      <c r="G41">
        <f>IF(LEFT(B41,2)="CY",B41,IF(ISNUMBER(SEARCH("target",B41)),"Target2030",IF(LEN(SUBSTITUTE(UPPER(B41)," ",""))=9,"FY"&amp;MID(SUBSTITUTE(B41," ",""),3,2)&amp;RIGHT(B41,2),SUBSTITUTE(UPPER(B41)," ",""))))</f>
        <v/>
      </c>
      <c r="H41">
        <f>VLOOKUP(LOWER(TRIM(C41)),Lookups!$A$2:$B$37,2,FALSE)</f>
        <v/>
      </c>
      <c r="I41">
        <f>VLOOKUP(LOWER(TRIM(E41)),Lookups!$D$2:$E$11,2,FALSE)</f>
        <v/>
      </c>
      <c r="J41">
        <f>VALUE(TRIM(SUBSTITUTE(SUBSTITUTE(SUBSTITUTE(SUBSTITUTE(SUBSTITUTE(LOWER(D41),",",""),"~",""),"&gt;",""),"almost",""),"lakh","")))*IF(ISNUMBER(SEARCH("lakh",D41)),100000,1)*IF(LOWER(E41)="million",1000000,1)</f>
        <v/>
      </c>
    </row>
    <row r="42">
      <c r="A42" t="inlineStr">
        <is>
          <t>S10</t>
        </is>
      </c>
      <c r="B42" t="inlineStr">
        <is>
          <t>CY2025</t>
        </is>
      </c>
      <c r="C42" t="inlineStr">
        <is>
          <t>Two-wheelers battery share</t>
        </is>
      </c>
      <c r="D42" t="inlineStr">
        <is>
          <t>23</t>
        </is>
      </c>
      <c r="E42" t="inlineStr">
        <is>
          <t>% of GWh</t>
        </is>
      </c>
      <c r="F42" t="inlineStr"/>
      <c r="G42">
        <f>IF(LEFT(B42,2)="CY",B42,IF(ISNUMBER(SEARCH("target",B42)),"Target2030",IF(LEN(SUBSTITUTE(UPPER(B42)," ",""))=9,"FY"&amp;MID(SUBSTITUTE(B42," ",""),3,2)&amp;RIGHT(B42,2),SUBSTITUTE(UPPER(B42)," ",""))))</f>
        <v/>
      </c>
      <c r="H42">
        <f>VLOOKUP(LOWER(TRIM(C42)),Lookups!$A$2:$B$37,2,FALSE)</f>
        <v/>
      </c>
      <c r="I42">
        <f>VLOOKUP(LOWER(TRIM(E42)),Lookups!$D$2:$E$11,2,FALSE)</f>
        <v/>
      </c>
      <c r="J42">
        <f>VALUE(TRIM(SUBSTITUTE(SUBSTITUTE(SUBSTITUTE(SUBSTITUTE(SUBSTITUTE(LOWER(D42),",",""),"~",""),"&gt;",""),"almost",""),"lakh","")))*IF(ISNUMBER(SEARCH("lakh",D42)),100000,1)*IF(LOWER(E42)="million",1000000,1)</f>
        <v/>
      </c>
    </row>
    <row r="43">
      <c r="A43" t="inlineStr">
        <is>
          <t>S10</t>
        </is>
      </c>
      <c r="B43" t="inlineStr">
        <is>
          <t>CY2025</t>
        </is>
      </c>
      <c r="C43" t="inlineStr">
        <is>
          <t>Buses battery share</t>
        </is>
      </c>
      <c r="D43" t="inlineStr">
        <is>
          <t>7.8</t>
        </is>
      </c>
      <c r="E43" t="inlineStr">
        <is>
          <t>% of GWh</t>
        </is>
      </c>
      <c r="F43" t="inlineStr"/>
      <c r="G43">
        <f>IF(LEFT(B43,2)="CY",B43,IF(ISNUMBER(SEARCH("target",B43)),"Target2030",IF(LEN(SUBSTITUTE(UPPER(B43)," ",""))=9,"FY"&amp;MID(SUBSTITUTE(B43," ",""),3,2)&amp;RIGHT(B43,2),SUBSTITUTE(UPPER(B43)," ",""))))</f>
        <v/>
      </c>
      <c r="H43">
        <f>VLOOKUP(LOWER(TRIM(C43)),Lookups!$A$2:$B$37,2,FALSE)</f>
        <v/>
      </c>
      <c r="I43">
        <f>VLOOKUP(LOWER(TRIM(E43)),Lookups!$D$2:$E$11,2,FALSE)</f>
        <v/>
      </c>
      <c r="J43">
        <f>VALUE(TRIM(SUBSTITUTE(SUBSTITUTE(SUBSTITUTE(SUBSTITUTE(SUBSTITUTE(LOWER(D43),",",""),"~",""),"&gt;",""),"almost",""),"lakh","")))*IF(ISNUMBER(SEARCH("lakh",D43)),100000,1)*IF(LOWER(E43)="million",1000000,1)</f>
        <v/>
      </c>
    </row>
    <row r="44">
      <c r="A44" t="inlineStr">
        <is>
          <t>S27</t>
        </is>
      </c>
      <c r="B44" t="inlineStr">
        <is>
          <t>FY2022-23</t>
        </is>
      </c>
      <c r="C44" t="inlineStr">
        <is>
          <t>e-rickshaw Li-ion share</t>
        </is>
      </c>
      <c r="D44" t="inlineStr">
        <is>
          <t>almost 10</t>
        </is>
      </c>
      <c r="E44" t="inlineStr">
        <is>
          <t>% of e-rickshaw market</t>
        </is>
      </c>
      <c r="F44" t="inlineStr">
        <is>
          <t>rest lead-acid</t>
        </is>
      </c>
      <c r="G44">
        <f>IF(LEFT(B44,2)="CY",B44,IF(ISNUMBER(SEARCH("target",B44)),"Target2030",IF(LEN(SUBSTITUTE(UPPER(B44)," ",""))=9,"FY"&amp;MID(SUBSTITUTE(B44," ",""),3,2)&amp;RIGHT(B44,2),SUBSTITUTE(UPPER(B44)," ",""))))</f>
        <v/>
      </c>
      <c r="H44">
        <f>VLOOKUP(LOWER(TRIM(C44)),Lookups!$A$2:$B$37,2,FALSE)</f>
        <v/>
      </c>
      <c r="I44">
        <f>VLOOKUP(LOWER(TRIM(E44)),Lookups!$D$2:$E$11,2,FALSE)</f>
        <v/>
      </c>
      <c r="J44">
        <f>VALUE(TRIM(SUBSTITUTE(SUBSTITUTE(SUBSTITUTE(SUBSTITUTE(SUBSTITUTE(LOWER(D44),",",""),"~",""),"&gt;",""),"almost",""),"lakh","")))*IF(ISNUMBER(SEARCH("lakh",D44)),100000,1)*IF(LOWER(E44)="million",1000000,1)</f>
        <v/>
      </c>
    </row>
    <row r="45">
      <c r="A45" t="inlineStr">
        <is>
          <t>S27</t>
        </is>
      </c>
      <c r="B45" t="inlineStr">
        <is>
          <t>FY2022-23</t>
        </is>
      </c>
      <c r="C45" t="inlineStr">
        <is>
          <t>e-rickshaw Li-ion battery life</t>
        </is>
      </c>
      <c r="D45" t="inlineStr">
        <is>
          <t>3</t>
        </is>
      </c>
      <c r="E45" t="inlineStr">
        <is>
          <t>years</t>
        </is>
      </c>
      <c r="F45" t="inlineStr">
        <is>
          <t>lead-acid 8-24 months</t>
        </is>
      </c>
      <c r="G45">
        <f>IF(LEFT(B45,2)="CY",B45,IF(ISNUMBER(SEARCH("target",B45)),"Target2030",IF(LEN(SUBSTITUTE(UPPER(B45)," ",""))=9,"FY"&amp;MID(SUBSTITUTE(B45," ",""),3,2)&amp;RIGHT(B45,2),SUBSTITUTE(UPPER(B45)," ",""))))</f>
        <v/>
      </c>
      <c r="H45">
        <f>VLOOKUP(LOWER(TRIM(C45)),Lookups!$A$2:$B$37,2,FALSE)</f>
        <v/>
      </c>
      <c r="I45">
        <f>VLOOKUP(LOWER(TRIM(E45)),Lookups!$D$2:$E$11,2,FALSE)</f>
        <v/>
      </c>
      <c r="J45">
        <f>VALUE(TRIM(SUBSTITUTE(SUBSTITUTE(SUBSTITUTE(SUBSTITUTE(SUBSTITUTE(LOWER(D45),",",""),"~",""),"&gt;",""),"almost",""),"lakh","")))*IF(ISNUMBER(SEARCH("lakh",D45)),100000,1)*IF(LOWER(E45)="million",1000000,1)</f>
        <v/>
      </c>
    </row>
    <row r="46">
      <c r="A46" t="inlineStr">
        <is>
          <t>S25</t>
        </is>
      </c>
      <c r="B46" t="inlineStr">
        <is>
          <t>2030 target</t>
        </is>
      </c>
      <c r="C46" t="inlineStr">
        <is>
          <t>Private cars</t>
        </is>
      </c>
      <c r="D46" t="inlineStr">
        <is>
          <t>30</t>
        </is>
      </c>
      <c r="E46" t="inlineStr">
        <is>
          <t>% of sales</t>
        </is>
      </c>
      <c r="F46" t="inlineStr">
        <is>
          <t>NITI Aayog/RMI 2019 ambition</t>
        </is>
      </c>
      <c r="G46">
        <f>IF(LEFT(B46,2)="CY",B46,IF(ISNUMBER(SEARCH("target",B46)),"Target2030",IF(LEN(SUBSTITUTE(UPPER(B46)," ",""))=9,"FY"&amp;MID(SUBSTITUTE(B46," ",""),3,2)&amp;RIGHT(B46,2),SUBSTITUTE(UPPER(B46)," ",""))))</f>
        <v/>
      </c>
      <c r="H46">
        <f>VLOOKUP(LOWER(TRIM(C46)),Lookups!$A$2:$B$37,2,FALSE)</f>
        <v/>
      </c>
      <c r="I46">
        <f>VLOOKUP(LOWER(TRIM(E46)),Lookups!$D$2:$E$11,2,FALSE)</f>
        <v/>
      </c>
      <c r="J46">
        <f>VALUE(TRIM(SUBSTITUTE(SUBSTITUTE(SUBSTITUTE(SUBSTITUTE(SUBSTITUTE(LOWER(D46),",",""),"~",""),"&gt;",""),"almost",""),"lakh","")))*IF(ISNUMBER(SEARCH("lakh",D46)),100000,1)*IF(LOWER(E46)="million",1000000,1)</f>
        <v/>
      </c>
    </row>
    <row r="47">
      <c r="A47" t="inlineStr">
        <is>
          <t>S25</t>
        </is>
      </c>
      <c r="B47" t="inlineStr">
        <is>
          <t>2030 target</t>
        </is>
      </c>
      <c r="C47" t="inlineStr">
        <is>
          <t>Commercial cars</t>
        </is>
      </c>
      <c r="D47" t="inlineStr">
        <is>
          <t>70</t>
        </is>
      </c>
      <c r="E47" t="inlineStr">
        <is>
          <t>% of sales</t>
        </is>
      </c>
      <c r="F47" t="inlineStr"/>
      <c r="G47">
        <f>IF(LEFT(B47,2)="CY",B47,IF(ISNUMBER(SEARCH("target",B47)),"Target2030",IF(LEN(SUBSTITUTE(UPPER(B47)," ",""))=9,"FY"&amp;MID(SUBSTITUTE(B47," ",""),3,2)&amp;RIGHT(B47,2),SUBSTITUTE(UPPER(B47)," ",""))))</f>
        <v/>
      </c>
      <c r="H47">
        <f>VLOOKUP(LOWER(TRIM(C47)),Lookups!$A$2:$B$37,2,FALSE)</f>
        <v/>
      </c>
      <c r="I47">
        <f>VLOOKUP(LOWER(TRIM(E47)),Lookups!$D$2:$E$11,2,FALSE)</f>
        <v/>
      </c>
      <c r="J47">
        <f>VALUE(TRIM(SUBSTITUTE(SUBSTITUTE(SUBSTITUTE(SUBSTITUTE(SUBSTITUTE(LOWER(D47),",",""),"~",""),"&gt;",""),"almost",""),"lakh","")))*IF(ISNUMBER(SEARCH("lakh",D47)),100000,1)*IF(LOWER(E47)="million",1000000,1)</f>
        <v/>
      </c>
    </row>
    <row r="48">
      <c r="A48" t="inlineStr">
        <is>
          <t>S25</t>
        </is>
      </c>
      <c r="B48" t="inlineStr">
        <is>
          <t>2030 target</t>
        </is>
      </c>
      <c r="C48" t="inlineStr">
        <is>
          <t>Buses</t>
        </is>
      </c>
      <c r="D48" t="inlineStr">
        <is>
          <t>40</t>
        </is>
      </c>
      <c r="E48" t="inlineStr">
        <is>
          <t>% of sales</t>
        </is>
      </c>
      <c r="F48" t="inlineStr"/>
      <c r="G48">
        <f>IF(LEFT(B48,2)="CY",B48,IF(ISNUMBER(SEARCH("target",B48)),"Target2030",IF(LEN(SUBSTITUTE(UPPER(B48)," ",""))=9,"FY"&amp;MID(SUBSTITUTE(B48," ",""),3,2)&amp;RIGHT(B48,2),SUBSTITUTE(UPPER(B48)," ",""))))</f>
        <v/>
      </c>
      <c r="H48">
        <f>VLOOKUP(LOWER(TRIM(C48)),Lookups!$A$2:$B$37,2,FALSE)</f>
        <v/>
      </c>
      <c r="I48">
        <f>VLOOKUP(LOWER(TRIM(E48)),Lookups!$D$2:$E$11,2,FALSE)</f>
        <v/>
      </c>
      <c r="J48">
        <f>VALUE(TRIM(SUBSTITUTE(SUBSTITUTE(SUBSTITUTE(SUBSTITUTE(SUBSTITUTE(LOWER(D48),",",""),"~",""),"&gt;",""),"almost",""),"lakh","")))*IF(ISNUMBER(SEARCH("lakh",D48)),100000,1)*IF(LOWER(E48)="million",1000000,1)</f>
        <v/>
      </c>
    </row>
    <row r="49">
      <c r="A49" t="inlineStr">
        <is>
          <t>S25</t>
        </is>
      </c>
      <c r="B49" t="inlineStr">
        <is>
          <t>2030 target</t>
        </is>
      </c>
      <c r="C49" t="inlineStr">
        <is>
          <t>Two- and three-wheelers</t>
        </is>
      </c>
      <c r="D49" t="inlineStr">
        <is>
          <t>80</t>
        </is>
      </c>
      <c r="E49" t="inlineStr">
        <is>
          <t>% of sales</t>
        </is>
      </c>
      <c r="F49" t="inlineStr"/>
      <c r="G49">
        <f>IF(LEFT(B49,2)="CY",B49,IF(ISNUMBER(SEARCH("target",B49)),"Target2030",IF(LEN(SUBSTITUTE(UPPER(B49)," ",""))=9,"FY"&amp;MID(SUBSTITUTE(B49," ",""),3,2)&amp;RIGHT(B49,2),SUBSTITUTE(UPPER(B49)," ",""))))</f>
        <v/>
      </c>
      <c r="H49">
        <f>VLOOKUP(LOWER(TRIM(C49)),Lookups!$A$2:$B$37,2,FALSE)</f>
        <v/>
      </c>
      <c r="I49">
        <f>VLOOKUP(LOWER(TRIM(E49)),Lookups!$D$2:$E$11,2,FALSE)</f>
        <v/>
      </c>
      <c r="J49">
        <f>VALUE(TRIM(SUBSTITUTE(SUBSTITUTE(SUBSTITUTE(SUBSTITUTE(SUBSTITUTE(LOWER(D49),",",""),"~",""),"&gt;",""),"almost",""),"lakh","")))*IF(ISNUMBER(SEARCH("lakh",D49)),100000,1)*IF(LOWER(E49)="million",1000000,1)</f>
        <v/>
      </c>
    </row>
    <row r="50">
      <c r="A50" t="inlineStr">
        <is>
          <t>S29</t>
        </is>
      </c>
      <c r="B50" t="inlineStr">
        <is>
          <t>CY2025</t>
        </is>
      </c>
      <c r="C50" t="inlineStr">
        <is>
          <t>EV battery demand</t>
        </is>
      </c>
      <c r="D50" t="inlineStr">
        <is>
          <t>17.7</t>
        </is>
      </c>
      <c r="E50" t="inlineStr">
        <is>
          <t>GWh</t>
        </is>
      </c>
      <c r="F50" t="inlineStr">
        <is>
          <t>CES; differs from IESA 19 GWh</t>
        </is>
      </c>
      <c r="G50">
        <f>IF(LEFT(B50,2)="CY",B50,IF(ISNUMBER(SEARCH("target",B50)),"Target2030",IF(LEN(SUBSTITUTE(UPPER(B50)," ",""))=9,"FY"&amp;MID(SUBSTITUTE(B50," ",""),3,2)&amp;RIGHT(B50,2),SUBSTITUTE(UPPER(B50)," ",""))))</f>
        <v/>
      </c>
      <c r="H50">
        <f>VLOOKUP(LOWER(TRIM(C50)),Lookups!$A$2:$B$37,2,FALSE)</f>
        <v/>
      </c>
      <c r="I50">
        <f>VLOOKUP(LOWER(TRIM(E50)),Lookups!$D$2:$E$11,2,FALSE)</f>
        <v/>
      </c>
      <c r="J50">
        <f>VALUE(TRIM(SUBSTITUTE(SUBSTITUTE(SUBSTITUTE(SUBSTITUTE(SUBSTITUTE(LOWER(D50),",",""),"~",""),"&gt;",""),"almost",""),"lakh","")))*IF(ISNUMBER(SEARCH("lakh",D50)),100000,1)*IF(LOWER(E50)="million",1000000,1)</f>
        <v/>
      </c>
    </row>
    <row r="51">
      <c r="A51" t="inlineStr">
        <is>
          <t>S29</t>
        </is>
      </c>
      <c r="B51" t="inlineStr">
        <is>
          <t>CY2032</t>
        </is>
      </c>
      <c r="C51" t="inlineStr">
        <is>
          <t>EV battery demand</t>
        </is>
      </c>
      <c r="D51" t="inlineStr">
        <is>
          <t>256.3</t>
        </is>
      </c>
      <c r="E51" t="inlineStr">
        <is>
          <t>GWh</t>
        </is>
      </c>
      <c r="F51" t="inlineStr">
        <is>
          <t>CES forecast</t>
        </is>
      </c>
      <c r="G51">
        <f>IF(LEFT(B51,2)="CY",B51,IF(ISNUMBER(SEARCH("target",B51)),"Target2030",IF(LEN(SUBSTITUTE(UPPER(B51)," ",""))=9,"FY"&amp;MID(SUBSTITUTE(B51," ",""),3,2)&amp;RIGHT(B51,2),SUBSTITUTE(UPPER(B51)," ",""))))</f>
        <v/>
      </c>
      <c r="H51">
        <f>VLOOKUP(LOWER(TRIM(C51)),Lookups!$A$2:$B$37,2,FALSE)</f>
        <v/>
      </c>
      <c r="I51">
        <f>VLOOKUP(LOWER(TRIM(E51)),Lookups!$D$2:$E$11,2,FALSE)</f>
        <v/>
      </c>
      <c r="J51">
        <f>VALUE(TRIM(SUBSTITUTE(SUBSTITUTE(SUBSTITUTE(SUBSTITUTE(SUBSTITUTE(LOWER(D51),",",""),"~",""),"&gt;",""),"almost",""),"lakh","")))*IF(ISNUMBER(SEARCH("lakh",D51)),100000,1)*IF(LOWER(E51)="million",1000000,1)</f>
        <v/>
      </c>
    </row>
  </sheetData>
  <autoFilter ref="A1:J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2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60" customWidth="1" min="7" max="7"/>
  </cols>
  <sheetData>
    <row r="1">
      <c r="A1" t="inlineStr">
        <is>
          <t>CY2025 total EV sales (IESA, S10)</t>
        </is>
      </c>
      <c r="B1">
        <f>SUMIFS(EV_Reported!$J$2:$J$51,EV_Reported!$G$2:$G$51,"CY2025",EV_Reported!$H$2:$H$51,"Total",EV_Reported!$I$2:$I$51,"Units")</f>
        <v/>
      </c>
    </row>
    <row r="2">
      <c r="A2" t="inlineStr">
        <is>
          <t>Share of 3W EVs that are L3 (A00; FY2025 was 77%)</t>
        </is>
      </c>
      <c r="B2" s="5" t="n">
        <v>0.75</v>
      </c>
    </row>
    <row r="4">
      <c r="A4" s="7" t="inlineStr">
        <is>
          <t>Sub_Sector</t>
        </is>
      </c>
      <c r="B4" s="7" t="inlineStr">
        <is>
          <t>IESA_Segment</t>
        </is>
      </c>
      <c r="C4" s="7" t="inlineStr">
        <is>
          <t>Share_of_EV_Sales</t>
        </is>
      </c>
      <c r="D4" s="7" t="inlineStr">
        <is>
          <t>EV_Units_2025</t>
        </is>
      </c>
      <c r="E4" s="7" t="inlineStr">
        <is>
          <t>EV_Penetration_2025 (input)</t>
        </is>
      </c>
      <c r="F4" s="7" t="inlineStr">
        <is>
          <t>Market_Units_2025</t>
        </is>
      </c>
      <c r="G4" s="7" t="inlineStr">
        <is>
          <t>Note</t>
        </is>
      </c>
    </row>
    <row r="5">
      <c r="A5" t="inlineStr">
        <is>
          <t>EV_2W</t>
        </is>
      </c>
      <c r="B5" t="inlineStr">
        <is>
          <t>2W</t>
        </is>
      </c>
      <c r="C5">
        <f>SUMIFS(EV_Reported!$J$2:$J$51,EV_Reported!$G$2:$G$51,"CY2025",EV_Reported!$H$2:$H$51,B5,EV_Reported!$I$2:$I$51,"Share_of_EV_Sales")/100</f>
        <v/>
      </c>
      <c r="D5">
        <f>ROUND($B$1*C5,0)</f>
        <v/>
      </c>
      <c r="E5" s="5" t="n">
        <v>0.078</v>
      </c>
      <c r="F5">
        <f>ROUND(D5/E5,-3)</f>
        <v/>
      </c>
      <c r="G5" t="inlineStr">
        <is>
          <t>2W penetration 6.2% in FY2025 (S08), rolled forward</t>
        </is>
      </c>
    </row>
    <row r="6">
      <c r="A6" t="inlineStr">
        <is>
          <t>EV_3W_L5</t>
        </is>
      </c>
      <c r="B6" t="inlineStr">
        <is>
          <t>3W</t>
        </is>
      </c>
      <c r="C6">
        <f>SUMIFS(EV_Reported!$J$2:$J$51,EV_Reported!$G$2:$G$51,"CY2025",EV_Reported!$H$2:$H$51,B6,EV_Reported!$I$2:$I$51,"Share_of_EV_Sales")/100</f>
        <v/>
      </c>
      <c r="D6">
        <f>ROUND($B$1*C6*(1-$B$2),0)</f>
        <v/>
      </c>
      <c r="E6" s="5" t="n">
        <v>0.25</v>
      </c>
      <c r="F6">
        <f>ROUND(D6/E6,-3)</f>
        <v/>
      </c>
      <c r="G6" t="inlineStr">
        <is>
          <t>L5 penetration ~22% in FY2025 (S08)</t>
        </is>
      </c>
    </row>
    <row r="7">
      <c r="A7" t="inlineStr">
        <is>
          <t>EV_3W_L3</t>
        </is>
      </c>
      <c r="B7" t="inlineStr">
        <is>
          <t>3W</t>
        </is>
      </c>
      <c r="C7">
        <f>SUMIFS(EV_Reported!$J$2:$J$51,EV_Reported!$G$2:$G$51,"CY2025",EV_Reported!$H$2:$H$51,B7,EV_Reported!$I$2:$I$51,"Share_of_EV_Sales")/100</f>
        <v/>
      </c>
      <c r="D7">
        <f>ROUND($B$1*C7*$B$2,0)</f>
        <v/>
      </c>
      <c r="E7" s="5" t="n">
        <v>1</v>
      </c>
      <c r="F7">
        <f>ROUND(D7/E7,-3)</f>
        <v/>
      </c>
      <c r="G7" t="inlineStr">
        <is>
          <t>L3 e-rickshaws and e-carts are all electric</t>
        </is>
      </c>
    </row>
    <row r="8">
      <c r="A8" t="inlineStr">
        <is>
          <t>EV_4W</t>
        </is>
      </c>
      <c r="B8" t="inlineStr">
        <is>
          <t>4W</t>
        </is>
      </c>
      <c r="C8">
        <f>SUMIFS(EV_Reported!$J$2:$J$51,EV_Reported!$G$2:$G$51,"CY2025",EV_Reported!$H$2:$H$51,B8,EV_Reported!$I$2:$I$51,"Share_of_EV_Sales")/100</f>
        <v/>
      </c>
      <c r="D8">
        <f>ROUND($B$1*C8,0)</f>
        <v/>
      </c>
      <c r="E8" s="5" t="n">
        <v>0.045</v>
      </c>
      <c r="F8">
        <f>ROUND(D8/E8,-3)</f>
        <v/>
      </c>
      <c r="G8" t="inlineStr">
        <is>
          <t>car penetration 2.7% in FY2025 and +86% sales in FY2026 (S08, S09)</t>
        </is>
      </c>
    </row>
    <row r="9">
      <c r="A9" t="inlineStr">
        <is>
          <t>EV_Bus</t>
        </is>
      </c>
      <c r="B9" t="inlineStr">
        <is>
          <t>Bus</t>
        </is>
      </c>
      <c r="C9">
        <f>SUMIFS(EV_Reported!$J$2:$J$51,EV_Reported!$G$2:$G$51,"CY2025",EV_Reported!$H$2:$H$51,B9,EV_Reported!$I$2:$I$51,"Share_of_EV_Sales")/100</f>
        <v/>
      </c>
      <c r="D9">
        <f>ROUND($B$1*C9,0)</f>
        <v/>
      </c>
      <c r="E9" s="5" t="n">
        <v>0.052</v>
      </c>
      <c r="F9">
        <f>ROUND(D9/E9,-3)</f>
        <v/>
      </c>
      <c r="G9" t="inlineStr">
        <is>
          <t>A00</t>
        </is>
      </c>
    </row>
    <row r="10">
      <c r="A10" t="inlineStr">
        <is>
          <t>EV_Truck</t>
        </is>
      </c>
      <c r="B10" t="inlineStr">
        <is>
          <t>Truck</t>
        </is>
      </c>
      <c r="C10">
        <f>SUMIFS(EV_Reported!$J$2:$J$51,EV_Reported!$G$2:$G$51,"CY2025",EV_Reported!$H$2:$H$51,B10,EV_Reported!$I$2:$I$51,"Share_of_EV_Sales")/100</f>
        <v/>
      </c>
      <c r="D10">
        <f>ROUND($B$1*C10,0)</f>
        <v/>
      </c>
      <c r="E10" s="5" t="n">
        <v>0.011</v>
      </c>
      <c r="F10">
        <f>ROUND(D10/E10,-3)</f>
        <v/>
      </c>
      <c r="G10" t="inlineStr">
        <is>
          <t>A00</t>
        </is>
      </c>
    </row>
    <row r="12">
      <c r="A12" s="4" t="inlineStr">
        <is>
          <t>Calibration: battery GWh in 2025 at the model pack sizes vs IESA 19 GWh</t>
        </is>
      </c>
    </row>
    <row r="13">
      <c r="A13" s="4" t="inlineStr">
        <is>
          <t>Sub_Sector</t>
        </is>
      </c>
      <c r="B13" s="4" t="inlineStr">
        <is>
          <t>kWh_per_Unit</t>
        </is>
      </c>
      <c r="C13" s="4" t="inlineStr">
        <is>
          <t>LiIon_Share</t>
        </is>
      </c>
      <c r="D13" s="4" t="inlineStr">
        <is>
          <t>GWh</t>
        </is>
      </c>
    </row>
    <row r="14">
      <c r="A14" t="inlineStr">
        <is>
          <t>EV_2W</t>
        </is>
      </c>
      <c r="B14" s="5" t="n">
        <v>2.8</v>
      </c>
      <c r="C14" s="5" t="n">
        <v>1</v>
      </c>
      <c r="D14">
        <f>D5*B14*C14/1000000</f>
        <v/>
      </c>
    </row>
    <row r="15">
      <c r="A15" t="inlineStr">
        <is>
          <t>EV_3W_L5</t>
        </is>
      </c>
      <c r="B15" s="5" t="n">
        <v>8</v>
      </c>
      <c r="C15" s="5" t="n">
        <v>1</v>
      </c>
      <c r="D15">
        <f>D6*B15*C15/1000000</f>
        <v/>
      </c>
    </row>
    <row r="16">
      <c r="A16" t="inlineStr">
        <is>
          <t>EV_3W_L3</t>
        </is>
      </c>
      <c r="B16" s="5" t="n">
        <v>5</v>
      </c>
      <c r="C16" s="5" t="n">
        <v>0.25</v>
      </c>
      <c r="D16">
        <f>D7*B16*C16/1000000</f>
        <v/>
      </c>
    </row>
    <row r="17">
      <c r="A17" t="inlineStr">
        <is>
          <t>EV_4W</t>
        </is>
      </c>
      <c r="B17" s="5" t="n">
        <v>38</v>
      </c>
      <c r="C17" s="5" t="n">
        <v>1</v>
      </c>
      <c r="D17">
        <f>D8*B17*C17/1000000</f>
        <v/>
      </c>
    </row>
    <row r="18">
      <c r="A18" t="inlineStr">
        <is>
          <t>EV_Bus</t>
        </is>
      </c>
      <c r="B18" s="5" t="n">
        <v>280</v>
      </c>
      <c r="C18" s="5" t="n">
        <v>1</v>
      </c>
      <c r="D18">
        <f>D9*B18*C18/1000000</f>
        <v/>
      </c>
    </row>
    <row r="19">
      <c r="A19" t="inlineStr">
        <is>
          <t>EV_Truck</t>
        </is>
      </c>
      <c r="B19" s="5" t="n">
        <v>40</v>
      </c>
      <c r="C19" s="5" t="n">
        <v>1</v>
      </c>
      <c r="D19">
        <f>D10*B19*C19/1000000</f>
        <v/>
      </c>
    </row>
    <row r="20">
      <c r="A20" t="inlineStr">
        <is>
          <t>Model total</t>
        </is>
      </c>
      <c r="D20">
        <f>SUM(D14:D19)</f>
        <v/>
      </c>
    </row>
    <row r="21">
      <c r="A21" t="inlineStr">
        <is>
          <t>IESA reported (S10)</t>
        </is>
      </c>
      <c r="D21">
        <f>SUMIFS(EV_Reported!$J$2:$J$51,EV_Reported!$G$2:$G$51,"CY2025",EV_Reported!$H$2:$H$51,"Battery",EV_Reported!$I$2:$I$51,"GWh",EV_Reported!$A$2:$A$51,"S10")</f>
        <v/>
      </c>
    </row>
    <row r="22">
      <c r="A22" t="inlineStr">
        <is>
          <t>Model as share of IESA (rest is lead-acid L3 and pack-size spread)</t>
        </is>
      </c>
      <c r="D22">
        <f>D20/D21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7" customWidth="1" min="3" max="3"/>
    <col width="20" customWidth="1" min="4" max="4"/>
    <col width="15" customWidth="1" min="5" max="5"/>
    <col width="17" customWidth="1" min="6" max="6"/>
    <col width="19" customWidth="1" min="7" max="7"/>
    <col width="24" customWidth="1" min="8" max="8"/>
    <col width="22" customWidth="1" min="9" max="9"/>
  </cols>
  <sheetData>
    <row r="1">
      <c r="A1" s="6" t="inlineStr">
        <is>
          <t>Chemistry</t>
        </is>
      </c>
      <c r="B1" s="7" t="inlineStr">
        <is>
          <t>Formula_Mass_g_mol</t>
        </is>
      </c>
      <c r="C1" s="7" t="inlineStr">
        <is>
          <t>Practical_Capacity_mAh_g</t>
        </is>
      </c>
      <c r="D1" s="7" t="inlineStr">
        <is>
          <t>Nominal_Voltage_V</t>
        </is>
      </c>
      <c r="E1" s="7" t="inlineStr">
        <is>
          <t>Wh_per_g_CAM</t>
        </is>
      </c>
      <c r="F1" s="7" t="inlineStr">
        <is>
          <t>kg_CAM_per_kWh</t>
        </is>
      </c>
      <c r="G1" s="7" t="inlineStr">
        <is>
          <t>Li_Mass_Fraction</t>
        </is>
      </c>
      <c r="H1" s="7" t="inlineStr">
        <is>
          <t>kg_Li_per_kWh_Cathode</t>
        </is>
      </c>
      <c r="I1" s="7" t="inlineStr">
        <is>
          <t>kg_LCE_per_kWh_Cell</t>
        </is>
      </c>
    </row>
    <row r="2">
      <c r="A2" t="inlineStr">
        <is>
          <t>LFP  LiFePO4</t>
        </is>
      </c>
      <c r="B2">
        <f>Lookups!$K$6+Lookups!$K$7+Lookups!$K$8+4*Lookups!$K$9</f>
        <v/>
      </c>
      <c r="C2" s="5" t="n">
        <v>160</v>
      </c>
      <c r="D2" s="5" t="n">
        <v>3.2</v>
      </c>
      <c r="E2">
        <f>C2*D2/1000</f>
        <v/>
      </c>
      <c r="F2">
        <f>1/E2</f>
        <v/>
      </c>
      <c r="G2">
        <f>Lookups!$K$6/B2</f>
        <v/>
      </c>
      <c r="H2">
        <f>F2*G2</f>
        <v/>
      </c>
      <c r="I2">
        <f>(H2*Lookups!$K$3+Lookups!$K$4)/Lookups!$K$5</f>
        <v/>
      </c>
    </row>
    <row r="3">
      <c r="A3" t="inlineStr">
        <is>
          <t>NMC811  LiNi0.8Mn0.1Co0.1O2</t>
        </is>
      </c>
      <c r="B3">
        <f>Lookups!$K$6+0.8*Lookups!$K$10+0.1*Lookups!$K$11+0.1*Lookups!$K$12+2*Lookups!$K$9</f>
        <v/>
      </c>
      <c r="C3" s="5" t="n">
        <v>195</v>
      </c>
      <c r="D3" s="5" t="n">
        <v>3.7</v>
      </c>
      <c r="E3">
        <f>C3*D3/1000</f>
        <v/>
      </c>
      <c r="F3">
        <f>1/E3</f>
        <v/>
      </c>
      <c r="G3">
        <f>Lookups!$K$6/B3</f>
        <v/>
      </c>
      <c r="H3">
        <f>F3*G3</f>
        <v/>
      </c>
      <c r="I3">
        <f>(H3*Lookups!$K$3+Lookups!$K$4)/Lookups!$K$5</f>
        <v/>
      </c>
    </row>
    <row r="4">
      <c r="A4" t="inlineStr">
        <is>
          <t>LCO  LiCoO2</t>
        </is>
      </c>
      <c r="B4">
        <f>Lookups!$K$6+Lookups!$K$12+2*Lookups!$K$9</f>
        <v/>
      </c>
      <c r="C4" s="5" t="n">
        <v>165</v>
      </c>
      <c r="D4" s="5" t="n">
        <v>3.85</v>
      </c>
      <c r="E4">
        <f>C4*D4/1000</f>
        <v/>
      </c>
      <c r="F4">
        <f>1/E4</f>
        <v/>
      </c>
      <c r="G4">
        <f>Lookups!$K$6/B4</f>
        <v/>
      </c>
      <c r="H4">
        <f>F4*G4</f>
        <v/>
      </c>
      <c r="I4">
        <f>(H4*Lookups!$K$3+Lookups!$K$4)/Lookups!$K$5</f>
        <v/>
      </c>
    </row>
    <row r="5">
      <c r="A5" t="inlineStr">
        <is>
          <t>Sodium-ion</t>
        </is>
      </c>
      <c r="I5" t="n">
        <v>0</v>
      </c>
    </row>
    <row r="7">
      <c r="A7" t="inlineStr">
        <is>
          <t>Lithium per kWh = kg of cathode per kWh x lithium mass fraction, converted to LCE, plus LiPF6 salt in the electrolyte, divided by cell yield (scrap). Check: IEA and BNEF quote roughly 0.5-0.7 kg LCE per kWh.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14" customWidth="1" min="3" max="3"/>
    <col width="13" customWidth="1" min="4" max="4"/>
  </cols>
  <sheetData>
    <row r="1">
      <c r="A1" s="4" t="inlineStr">
        <is>
          <t>Sub_Sector</t>
        </is>
      </c>
      <c r="B1" s="4" t="inlineStr">
        <is>
          <t>Basis</t>
        </is>
      </c>
      <c r="C1" s="4" t="inlineStr">
        <is>
          <t>Share_Input</t>
        </is>
      </c>
      <c r="D1" s="4" t="inlineStr">
        <is>
          <t>t_LCE_2025</t>
        </is>
      </c>
    </row>
    <row r="2">
      <c r="A2" t="inlineStr">
        <is>
          <t>IND_Grease</t>
        </is>
      </c>
      <c r="B2" t="inlineStr">
        <is>
          <t>Hydroxide imports x share to grease</t>
        </is>
      </c>
      <c r="C2" s="5" t="n">
        <v>0.9</v>
      </c>
      <c r="D2">
        <f>Trade_Summary!$B$19*C2</f>
        <v/>
      </c>
    </row>
    <row r="3">
      <c r="A3" t="inlineStr">
        <is>
          <t>IND_GlassCeramics</t>
        </is>
      </c>
      <c r="B3" t="inlineStr">
        <is>
          <t>Carbonate imports x share to glass and ceramics</t>
        </is>
      </c>
      <c r="C3" s="5" t="n">
        <v>0.5</v>
      </c>
      <c r="D3">
        <f>Trade_Summary!$B$18*C3</f>
        <v/>
      </c>
    </row>
    <row r="4">
      <c r="A4" t="inlineStr">
        <is>
          <t>IND_Pharma_Other</t>
        </is>
      </c>
      <c r="B4" t="inlineStr">
        <is>
          <t>Rest of carbonate and hydroxide</t>
        </is>
      </c>
      <c r="D4">
        <f>Trade_Summary!$B$18*(1-C3)+Trade_Summary!$B$19*(1-C2)</f>
        <v/>
      </c>
    </row>
    <row r="6">
      <c r="A6" s="4" t="inlineStr">
        <is>
          <t>Cross-check: grease survey (S26)</t>
        </is>
      </c>
    </row>
    <row r="7">
      <c r="A7" t="inlineStr">
        <is>
          <t>India grease output 2020 (t) = 190m lb x 0.4536</t>
        </is>
      </c>
      <c r="B7">
        <f>190000000*0.4536/1000</f>
        <v/>
      </c>
    </row>
    <row r="8">
      <c r="A8" t="inlineStr">
        <is>
          <t>Lithium-thickened share</t>
        </is>
      </c>
      <c r="B8" t="n">
        <v>0.85</v>
      </c>
    </row>
    <row r="9">
      <c r="A9" t="inlineStr">
        <is>
          <t>LiOH.H2O in lithium soap grease (typical)</t>
        </is>
      </c>
      <c r="B9" t="n">
        <v>0.016</v>
      </c>
    </row>
    <row r="10">
      <c r="A10" t="inlineStr">
        <is>
          <t>Implied t LCE (survey covers 16 of 31 makers)</t>
        </is>
      </c>
      <c r="B10">
        <f>B7*B8*B9*Lookups!$H$3</f>
        <v/>
      </c>
    </row>
    <row r="11">
      <c r="A11" t="inlineStr">
        <is>
          <t>Model grease baseline (t LCE)</t>
        </is>
      </c>
      <c r="B11">
        <f>D2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6" t="inlineStr">
        <is>
          <t>Source_ID</t>
        </is>
      </c>
      <c r="B1" s="6" t="inlineStr">
        <is>
          <t>Publisher</t>
        </is>
      </c>
      <c r="C1" s="6" t="inlineStr">
        <is>
          <t>Title</t>
        </is>
      </c>
      <c r="D1" s="6" t="inlineStr">
        <is>
          <t>Year</t>
        </is>
      </c>
      <c r="E1" s="6" t="inlineStr">
        <is>
          <t>URL</t>
        </is>
      </c>
      <c r="F1" s="6" t="inlineStr">
        <is>
          <t>Accessed</t>
        </is>
      </c>
    </row>
    <row r="2">
      <c r="A2" t="inlineStr">
        <is>
          <t>S01</t>
        </is>
      </c>
      <c r="B2" t="inlineStr">
        <is>
          <t>USGS</t>
        </is>
      </c>
      <c r="C2" t="inlineStr">
        <is>
          <t>Mineral Commodity Summaries 2026: Lithium</t>
        </is>
      </c>
      <c r="D2" t="n">
        <v>2026</v>
      </c>
      <c r="E2" t="inlineStr">
        <is>
          <t>https://pubs.usgs.gov/periodicals/mcs2026/mcs2026-lithium.pdf</t>
        </is>
      </c>
      <c r="F2" t="inlineStr">
        <is>
          <t>2026-10-10</t>
        </is>
      </c>
    </row>
    <row r="3">
      <c r="A3" t="inlineStr">
        <is>
          <t>S02</t>
        </is>
      </c>
      <c r="B3" t="inlineStr">
        <is>
          <t>Lok Sabha (Ministry of Mines)</t>
        </is>
      </c>
      <c r="C3" t="inlineStr">
        <is>
          <t>Unstarred Question No. 267 on lithium in J&amp;K (answered 24 Jul 2024)</t>
        </is>
      </c>
      <c r="D3" t="n">
        <v>2024</v>
      </c>
      <c r="E3" t="inlineStr">
        <is>
          <t>https://eparlib.nic.in/bitstream/123456789/2980749/1/AU267_CULiB1.pdf</t>
        </is>
      </c>
      <c r="F3" t="inlineStr">
        <is>
          <t>2026-10-10</t>
        </is>
      </c>
    </row>
    <row r="4">
      <c r="A4" t="inlineStr">
        <is>
          <t>S03</t>
        </is>
      </c>
      <c r="B4" t="inlineStr">
        <is>
          <t>CEEW</t>
        </is>
      </c>
      <c r="C4" t="inlineStr">
        <is>
          <t>Making India a Hub for Critical Minerals Processing (Kumar; Chandhok; Jain)</t>
        </is>
      </c>
      <c r="D4" t="n">
        <v>2025</v>
      </c>
      <c r="E4" t="inlineStr">
        <is>
          <t>https://www.ceew.in/node/4672</t>
        </is>
      </c>
      <c r="F4" t="inlineStr">
        <is>
          <t>2026-10-10</t>
        </is>
      </c>
    </row>
    <row r="5">
      <c r="A5" t="inlineStr">
        <is>
          <t>S04</t>
        </is>
      </c>
      <c r="B5" t="inlineStr">
        <is>
          <t>CEEW; CSEP; ICRIER; IISD; Shakti</t>
        </is>
      </c>
      <c r="C5" t="inlineStr">
        <is>
          <t>State of the Sector: Critical Energy Transition Minerals for India Vol. I</t>
        </is>
      </c>
      <c r="D5" t="n">
        <v>2025</v>
      </c>
      <c r="E5" t="inlineStr">
        <is>
          <t>https://www.ceew.in/node/4306</t>
        </is>
      </c>
      <c r="F5" t="inlineStr">
        <is>
          <t>2026-10-10</t>
        </is>
      </c>
    </row>
    <row r="6">
      <c r="A6" t="inlineStr">
        <is>
          <t>S05</t>
        </is>
      </c>
      <c r="B6" t="inlineStr">
        <is>
          <t>CEEW; CSEP; ICRIER; IISD; Shakti</t>
        </is>
      </c>
      <c r="C6" t="inlineStr">
        <is>
          <t>State of the Sector: Critical Energy Transition Minerals for India Vol. II</t>
        </is>
      </c>
      <c r="D6" t="n">
        <v>2025</v>
      </c>
      <c r="E6" t="inlineStr">
        <is>
          <t>https://www.ceew.in/sites/default/files/state-of-the-sector-cetms-for-india-vol-ii.pdf</t>
        </is>
      </c>
      <c r="F6" t="inlineStr">
        <is>
          <t>2026-10-10</t>
        </is>
      </c>
    </row>
    <row r="7">
      <c r="A7" t="inlineStr">
        <is>
          <t>S06</t>
        </is>
      </c>
      <c r="B7" t="inlineStr">
        <is>
          <t>World Bank WITS (UN Comtrade)</t>
        </is>
      </c>
      <c r="C7" t="inlineStr">
        <is>
          <t>India imports by partner: HS 283691 and 282520</t>
        </is>
      </c>
      <c r="D7" t="n">
        <v>2026</v>
      </c>
      <c r="E7" t="inlineStr">
        <is>
          <t>https://wits.worldbank.org/trade/comtrade/en/country/IND/year/2023/tradeflow/Imports/partner/ALL/product/283691</t>
        </is>
      </c>
      <c r="F7" t="inlineStr">
        <is>
          <t>2026-10-10</t>
        </is>
      </c>
    </row>
    <row r="8">
      <c r="A8" t="inlineStr">
        <is>
          <t>S07</t>
        </is>
      </c>
      <c r="B8" t="inlineStr">
        <is>
          <t>Autocar Professional (Vahan data)</t>
        </is>
      </c>
      <c r="C8" t="inlineStr">
        <is>
          <t>EV sales grow 17% to 1.96 million in FY2025</t>
        </is>
      </c>
      <c r="D8" t="n">
        <v>2025</v>
      </c>
      <c r="E8" t="inlineStr">
        <is>
          <t>https://autocarpro.in/analysis-sales/ev-sales-grow-17-to-196-million-in-fy2025-2-and-3ws-cars-and-suvs-hit-new-highs-125656</t>
        </is>
      </c>
      <c r="F8" t="inlineStr">
        <is>
          <t>2026-10-10</t>
        </is>
      </c>
    </row>
    <row r="9">
      <c r="A9" t="inlineStr">
        <is>
          <t>S08</t>
        </is>
      </c>
      <c r="B9" t="inlineStr">
        <is>
          <t>EVreporter</t>
        </is>
      </c>
      <c r="C9" t="inlineStr">
        <is>
          <t>India EV Report FY 2024-25 (excerpts)</t>
        </is>
      </c>
      <c r="D9" t="n">
        <v>2025</v>
      </c>
      <c r="E9" t="inlineStr">
        <is>
          <t>https://evreporter.com/evreporter-india-ev-report-fy-2024-25-excerpts/</t>
        </is>
      </c>
      <c r="F9" t="inlineStr">
        <is>
          <t>2026-10-10</t>
        </is>
      </c>
    </row>
    <row r="10">
      <c r="A10" t="inlineStr">
        <is>
          <t>S09</t>
        </is>
      </c>
      <c r="B10" t="inlineStr">
        <is>
          <t>JMK Research</t>
        </is>
      </c>
      <c r="C10" t="inlineStr">
        <is>
          <t>Annual India EV Report Card FY2026</t>
        </is>
      </c>
      <c r="D10" t="n">
        <v>2026</v>
      </c>
      <c r="E10" t="inlineStr">
        <is>
          <t>https://jmkresearch.com/annual-india-ev-report-card-fy2026/</t>
        </is>
      </c>
      <c r="F10" t="inlineStr">
        <is>
          <t>2026-10-10</t>
        </is>
      </c>
    </row>
    <row r="11">
      <c r="A11" t="inlineStr">
        <is>
          <t>S10</t>
        </is>
      </c>
      <c r="B11" t="inlineStr">
        <is>
          <t>IESA via EV Infrastructure News</t>
        </is>
      </c>
      <c r="C11" t="inlineStr">
        <is>
          <t>India registered 2.55 million EV sales in FY2025-26</t>
        </is>
      </c>
      <c r="D11" t="n">
        <v>2026</v>
      </c>
      <c r="E11" t="inlineStr">
        <is>
          <t>https://www.evinfrastructurenews.com/emobility/india-registers-2-55-million-ev-sales-in-fy2025-26-says-iesa</t>
        </is>
      </c>
      <c r="F11" t="inlineStr">
        <is>
          <t>2026-10-10</t>
        </is>
      </c>
    </row>
    <row r="12">
      <c r="A12" t="inlineStr">
        <is>
          <t>S11</t>
        </is>
      </c>
      <c r="B12" t="inlineStr">
        <is>
          <t>CEA via Powerline</t>
        </is>
      </c>
      <c r="C12" t="inlineStr">
        <is>
          <t>National Electricity Plan (Generation) 2022-32</t>
        </is>
      </c>
      <c r="D12" t="n">
        <v>2023</v>
      </c>
      <c r="E12" t="inlineStr">
        <is>
          <t>https://powerline.net.in/2023/07/03/green-roadmap-cea-prioritises-renewables-in-the-national-electricity-plan/</t>
        </is>
      </c>
      <c r="F12" t="inlineStr">
        <is>
          <t>2026-10-10</t>
        </is>
      </c>
    </row>
    <row r="13">
      <c r="A13" t="inlineStr">
        <is>
          <t>S12</t>
        </is>
      </c>
      <c r="B13" t="inlineStr">
        <is>
          <t>Powerline</t>
        </is>
      </c>
      <c r="C13" t="inlineStr">
        <is>
          <t>Growing Pipeline: battery storage market moves towards larger-scale deployment</t>
        </is>
      </c>
      <c r="D13" t="n">
        <v>2026</v>
      </c>
      <c r="E13" t="inlineStr">
        <is>
          <t>https://powerline.net.in/2026/07/24/growing-pipeline-battery-storage-market-moves-towards-larger-scale-deployment/</t>
        </is>
      </c>
      <c r="F13" t="inlineStr">
        <is>
          <t>2026-10-10</t>
        </is>
      </c>
    </row>
    <row r="14">
      <c r="A14" t="inlineStr">
        <is>
          <t>S13</t>
        </is>
      </c>
      <c r="B14" t="inlineStr">
        <is>
          <t>IDC via EET India</t>
        </is>
      </c>
      <c r="C14" t="inlineStr">
        <is>
          <t>India smartphone market flat in 2025</t>
        </is>
      </c>
      <c r="D14" t="n">
        <v>2026</v>
      </c>
      <c r="E14" t="inlineStr">
        <is>
          <t>https://www.eetindia.co.in/idc-india-smartphone-market-flat-in-2025/</t>
        </is>
      </c>
      <c r="F14" t="inlineStr">
        <is>
          <t>2026-10-10</t>
        </is>
      </c>
    </row>
    <row r="15">
      <c r="A15" t="inlineStr">
        <is>
          <t>S14</t>
        </is>
      </c>
      <c r="B15" t="inlineStr">
        <is>
          <t>IDC</t>
        </is>
      </c>
      <c r="C15" t="inlineStr">
        <is>
          <t>India PC market records strongest-ever year: 15.9 million units in 2025</t>
        </is>
      </c>
      <c r="D15" t="n">
        <v>2026</v>
      </c>
      <c r="E15" t="inlineStr">
        <is>
          <t>https://www.idc.com/resource-center/press-releases/india-pc-market-2025/</t>
        </is>
      </c>
      <c r="F15" t="inlineStr">
        <is>
          <t>2026-10-10</t>
        </is>
      </c>
    </row>
    <row r="16">
      <c r="A16" t="inlineStr">
        <is>
          <t>S15</t>
        </is>
      </c>
      <c r="B16" t="inlineStr">
        <is>
          <t>IDC</t>
        </is>
      </c>
      <c r="C16" t="inlineStr">
        <is>
          <t>India wearables market 2025</t>
        </is>
      </c>
      <c r="D16" t="n">
        <v>2026</v>
      </c>
      <c r="E16" t="inlineStr">
        <is>
          <t>https://www.idc.com/resource-center/press-releases/india-wearables-market-fy2025/</t>
        </is>
      </c>
      <c r="F16" t="inlineStr">
        <is>
          <t>2026-10-10</t>
        </is>
      </c>
    </row>
    <row r="17">
      <c r="A17" t="inlineStr">
        <is>
          <t>S16</t>
        </is>
      </c>
      <c r="B17" t="inlineStr">
        <is>
          <t>IEEFA</t>
        </is>
      </c>
      <c r="C17" t="inlineStr">
        <is>
          <t>Assessing India's ACC PLI scheme</t>
        </is>
      </c>
      <c r="D17" t="n">
        <v>2026</v>
      </c>
      <c r="E17" t="inlineStr">
        <is>
          <t>https://ieefa.org/sites/default/files/2026-01/Assessing%20India%27s%20ACC%20PLI%20scheme.pdf</t>
        </is>
      </c>
      <c r="F17" t="inlineStr">
        <is>
          <t>2026-10-10</t>
        </is>
      </c>
    </row>
    <row r="18">
      <c r="A18" t="inlineStr">
        <is>
          <t>S17</t>
        </is>
      </c>
      <c r="B18" t="inlineStr">
        <is>
          <t>IEA Policies Database</t>
        </is>
      </c>
      <c r="C18" t="inlineStr">
        <is>
          <t>Battery Waste Management Rules 2022</t>
        </is>
      </c>
      <c r="D18" t="n">
        <v>2022</v>
      </c>
      <c r="E18" t="inlineStr">
        <is>
          <t>https://www.iea.org/policies/25166-battery-waste-management-rules-2022</t>
        </is>
      </c>
      <c r="F18" t="inlineStr">
        <is>
          <t>2026-10-10</t>
        </is>
      </c>
    </row>
    <row r="19">
      <c r="A19" t="inlineStr">
        <is>
          <t>S18</t>
        </is>
      </c>
      <c r="B19" t="inlineStr">
        <is>
          <t>IANS</t>
        </is>
      </c>
      <c r="C19" t="inlineStr">
        <is>
          <t>Cabinet approves Rs 1500 crore incentive scheme to boost critical mineral recycling</t>
        </is>
      </c>
      <c r="D19" t="n">
        <v>2025</v>
      </c>
      <c r="E19" t="inlineStr">
        <is>
          <t>https://ianslive.in/cabinet-approves-rs-1500-crore-incentive-scheme-to-boost-critical-mineral-recycling--20250903194204</t>
        </is>
      </c>
      <c r="F19" t="inlineStr">
        <is>
          <t>2026-10-10</t>
        </is>
      </c>
    </row>
    <row r="20">
      <c r="A20" t="inlineStr">
        <is>
          <t>S19</t>
        </is>
      </c>
      <c r="B20" t="inlineStr">
        <is>
          <t>Rio Times</t>
        </is>
      </c>
      <c r="C20" t="inlineStr">
        <is>
          <t>KABIL Argentina lithium 2030</t>
        </is>
      </c>
      <c r="D20" t="n">
        <v>2026</v>
      </c>
      <c r="E20" t="inlineStr">
        <is>
          <t>https://www.riotimesonline.com/kabil-argentina-lithium-2030/</t>
        </is>
      </c>
      <c r="F20" t="inlineStr">
        <is>
          <t>2026-10-10</t>
        </is>
      </c>
    </row>
    <row r="21">
      <c r="A21" t="inlineStr">
        <is>
          <t>S20</t>
        </is>
      </c>
      <c r="B21" t="inlineStr">
        <is>
          <t>Goodreturns</t>
        </is>
      </c>
      <c r="C21" t="inlineStr">
        <is>
          <t>Maiki South Mining wins first lithium block (Katghora)</t>
        </is>
      </c>
      <c r="D21" t="n">
        <v>2024</v>
      </c>
      <c r="E21" t="inlineStr">
        <is>
          <t>https://www.goodreturns.in/news/maiki-south-mining-wins-first-lithium-block-chhattisgarh-011-1353663.html</t>
        </is>
      </c>
      <c r="F21" t="inlineStr">
        <is>
          <t>2026-10-10</t>
        </is>
      </c>
    </row>
    <row r="22">
      <c r="A22" t="inlineStr">
        <is>
          <t>S21</t>
        </is>
      </c>
      <c r="B22" t="inlineStr">
        <is>
          <t>Swarajya</t>
        </is>
      </c>
      <c r="C22" t="inlineStr">
        <is>
          <t>Long road to lithium: what is stalling India's critical mineral pursuit</t>
        </is>
      </c>
      <c r="D22" t="n">
        <v>2024</v>
      </c>
      <c r="E22" t="inlineStr">
        <is>
          <t>https://swarajyamag.com/amp/story/infrastructure/long-road-to-lithium-what-is-stalling-indias-critical-mineral-pursuit</t>
        </is>
      </c>
      <c r="F22" t="inlineStr">
        <is>
          <t>2026-10-10</t>
        </is>
      </c>
    </row>
    <row r="23">
      <c r="A23" t="inlineStr">
        <is>
          <t>S22</t>
        </is>
      </c>
      <c r="B23" t="inlineStr">
        <is>
          <t>IEA</t>
        </is>
      </c>
      <c r="C23" t="inlineStr">
        <is>
          <t>Global Critical Minerals Outlook 2025: overview of outlook for key minerals</t>
        </is>
      </c>
      <c r="D23" t="n">
        <v>2025</v>
      </c>
      <c r="E23" t="inlineStr">
        <is>
          <t>https://www.iea.org/reports/global-critical-minerals-outlook-2025/overview-of-outlook-for-key-minerals</t>
        </is>
      </c>
      <c r="F23" t="inlineStr">
        <is>
          <t>2026-10-10</t>
        </is>
      </c>
    </row>
    <row r="24">
      <c r="A24" t="inlineStr">
        <is>
          <t>S23</t>
        </is>
      </c>
      <c r="B24" t="inlineStr">
        <is>
          <t>IEA</t>
        </is>
      </c>
      <c r="C24" t="inlineStr">
        <is>
          <t>Global Critical Minerals Outlook 2026: outlook</t>
        </is>
      </c>
      <c r="D24" t="n">
        <v>2026</v>
      </c>
      <c r="E24" t="inlineStr">
        <is>
          <t>https://www.iea.org/reports/global-critical-minerals-outlook-2026/outlook</t>
        </is>
      </c>
      <c r="F24" t="inlineStr">
        <is>
          <t>2026-10-10</t>
        </is>
      </c>
    </row>
    <row r="25">
      <c r="A25" t="inlineStr">
        <is>
          <t>S24</t>
        </is>
      </c>
      <c r="B25" t="inlineStr">
        <is>
          <t>IEA</t>
        </is>
      </c>
      <c r="C25" t="inlineStr">
        <is>
          <t>Critical Minerals Policy Tracker: promoting exploration production and innovation</t>
        </is>
      </c>
      <c r="D25" t="n">
        <v>2023</v>
      </c>
      <c r="E25" t="inlineStr">
        <is>
          <t>https://www.iea.org/reports/critical-minerals-policy-tracker/promoting-exploration-production-and-innovation</t>
        </is>
      </c>
      <c r="F25" t="inlineStr">
        <is>
          <t>2026-10-10</t>
        </is>
      </c>
    </row>
    <row r="26">
      <c r="A26" t="inlineStr">
        <is>
          <t>S25</t>
        </is>
      </c>
      <c r="B26" t="inlineStr">
        <is>
          <t>NITI Aayog and RMI via Business Today</t>
        </is>
      </c>
      <c r="C26" t="inlineStr">
        <is>
          <t>India could achieve high penetration of EVs by 2030</t>
        </is>
      </c>
      <c r="D26" t="n">
        <v>2019</v>
      </c>
      <c r="E26" t="inlineStr">
        <is>
          <t>https://www.businesstoday.in/latest/story/india-could-achieve-high-penetration-of-electric-vehicles-by-2030-niti-aayog-184081-2019-04-05</t>
        </is>
      </c>
      <c r="F26" t="inlineStr">
        <is>
          <t>2026-10-10</t>
        </is>
      </c>
    </row>
    <row r="27">
      <c r="A27" t="inlineStr">
        <is>
          <t>S26</t>
        </is>
      </c>
      <c r="B27" t="inlineStr">
        <is>
          <t>Lubes'n'Greases (NLGI survey)</t>
        </is>
      </c>
      <c r="C27" t="inlineStr">
        <is>
          <t>Lithium greases rebound in China and India</t>
        </is>
      </c>
      <c r="D27" t="n">
        <v>2021</v>
      </c>
      <c r="E27" t="inlineStr">
        <is>
          <t>https://www.lubesngreases.com/lubereport-asia/8_25/lithium-greases-rebound-in-china-india/</t>
        </is>
      </c>
      <c r="F27" t="inlineStr">
        <is>
          <t>2026-10-10</t>
        </is>
      </c>
    </row>
    <row r="28">
      <c r="A28" t="inlineStr">
        <is>
          <t>S27</t>
        </is>
      </c>
      <c r="B28" t="inlineStr">
        <is>
          <t>WRI India</t>
        </is>
      </c>
      <c r="C28" t="inlineStr">
        <is>
          <t>Roadmap for alternative batteries and financing ecosystem for e-rickshaws in India</t>
        </is>
      </c>
      <c r="D28" t="n">
        <v>2024</v>
      </c>
      <c r="E28" t="inlineStr">
        <is>
          <t>https://wri-india.org/sites/default/files/Roadmap%20for%20alternative%20batteries%20and%20financing%20ecosystem%20for%20e-rickshaws%20in%20India%2011th%20April.pdf</t>
        </is>
      </c>
      <c r="F28" t="inlineStr">
        <is>
          <t>2026-10-10</t>
        </is>
      </c>
    </row>
    <row r="29">
      <c r="A29" t="inlineStr">
        <is>
          <t>S28</t>
        </is>
      </c>
      <c r="B29" t="inlineStr">
        <is>
          <t>ICEA via Morung Express</t>
        </is>
      </c>
      <c r="C29" t="inlineStr">
        <is>
          <t>Smartphones now India's largest export commodity</t>
        </is>
      </c>
      <c r="D29" t="n">
        <v>2025</v>
      </c>
      <c r="E29" t="inlineStr">
        <is>
          <t>https://morungexpress.com/smartphones-now-indias-largest-export-commodity-total-production-hits-rs-524-lakh-cr</t>
        </is>
      </c>
      <c r="F29" t="inlineStr">
        <is>
          <t>2026-10-10</t>
        </is>
      </c>
    </row>
    <row r="30">
      <c r="A30" t="inlineStr">
        <is>
          <t>S29</t>
        </is>
      </c>
      <c r="B30" t="inlineStr">
        <is>
          <t>CES via Outlook Business</t>
        </is>
      </c>
      <c r="C30" t="inlineStr">
        <is>
          <t>India's EV battery demand to rise to 256.3 GWh by 2032</t>
        </is>
      </c>
      <c r="D30" t="n">
        <v>2025</v>
      </c>
      <c r="E30" t="inlineStr">
        <is>
          <t>https://www.outlookbusiness.com/planet/industry/indias-ev-battery-demand-to-rise-multifold-to-2563-gwh-by-2032-report</t>
        </is>
      </c>
      <c r="F30" t="inlineStr">
        <is>
          <t>2026-10-10</t>
        </is>
      </c>
    </row>
    <row r="31">
      <c r="A31" t="inlineStr">
        <is>
          <t>S30</t>
        </is>
      </c>
      <c r="B31" t="inlineStr">
        <is>
          <t>Grant Thornton Bharat via IANS</t>
        </is>
      </c>
      <c r="C31" t="inlineStr">
        <is>
          <t>India's critical mineral demand likely to rise up to 10-fold by 2047</t>
        </is>
      </c>
      <c r="D31" t="n">
        <v>2026</v>
      </c>
      <c r="E31" t="inlineStr">
        <is>
          <t>https://ianslive.in/indias-critical-mineral-demand-likely-to-rise-up-to-10-fold-by-2047-report--20260730141615</t>
        </is>
      </c>
      <c r="F31" t="inlineStr">
        <is>
          <t>2026-10-10</t>
        </is>
      </c>
    </row>
    <row r="32">
      <c r="A32" t="inlineStr">
        <is>
          <t>S31</t>
        </is>
      </c>
      <c r="B32" t="inlineStr">
        <is>
          <t>EVreporter</t>
        </is>
      </c>
      <c r="C32" t="inlineStr">
        <is>
          <t>Lithium deposits found in J&amp;K: what to make of the discovery?</t>
        </is>
      </c>
      <c r="D32" t="n">
        <v>2023</v>
      </c>
      <c r="E32" t="inlineStr">
        <is>
          <t>https://evreporter.com/lithium-deposits-found-in-jk-what-to-make-of-the-discovery/</t>
        </is>
      </c>
      <c r="F32" t="inlineStr">
        <is>
          <t>2026-10-10</t>
        </is>
      </c>
    </row>
    <row r="33">
      <c r="A33" t="inlineStr">
        <is>
          <t>A00</t>
        </is>
      </c>
      <c r="B33" t="inlineStr">
        <is>
          <t>Project I author</t>
        </is>
      </c>
      <c r="C33" t="inlineStr">
        <is>
          <t>Modelling assumption (see Assumptions sheet for reasoning)</t>
        </is>
      </c>
      <c r="D33" t="n">
        <v>2026</v>
      </c>
      <c r="E33" t="inlineStr"/>
      <c r="F33" t="inlineStr">
        <is>
          <t>2026-10-10</t>
        </is>
      </c>
    </row>
  </sheetData>
  <autoFilter ref="A1:F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2026-10-10T15:32:59Z</dcterms:created>
  <dcterms:modified xmlns:dcterms="http://purl.org/dc/terms/" xmlns:xsi="http://www.w3.org/2001/XMLSchema-instance" xsi:type="dcterms:W3CDTF">2026-10-10T15:33:00Z</dcterms:modified>
</cp:coreProperties>
</file>