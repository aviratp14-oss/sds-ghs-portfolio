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" sheetId="1" state="visible" r:id="rId3"/>
    <sheet name="Results" sheetId="2" state="visible" r:id="rId4"/>
    <sheet name="Assumptions" sheetId="3" state="visible" r:id="rId5"/>
    <sheet name="Inputs" sheetId="4" state="visible" r:id="rId6"/>
    <sheet name="History" sheetId="5" state="visible" r:id="rId7"/>
    <sheet name="Cal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<sst xmlns="http://schemas.openxmlformats.org/spreadsheetml/2006/main" count="1053" uniqueCount="226">
  <si>
    <t xml:space="preserve">Lithium demand in India, 2025-2040: scenario model</t>
  </si>
  <si>
    <t xml:space="preserve">Adoption scenario</t>
  </si>
  <si>
    <t xml:space="preserve">Base</t>
  </si>
  <si>
    <t xml:space="preserve">Low = slow EVs and storage; Base = current trends; High = NITI Aayog-style ambition</t>
  </si>
  <si>
    <t xml:space="preserve">Lever: recycling push</t>
  </si>
  <si>
    <t xml:space="preserve">Collection 90% (EV/BESS) and 70% (electronics) by 2030; Li recovery 95%</t>
  </si>
  <si>
    <t xml:space="preserve">Lever: overseas assets</t>
  </si>
  <si>
    <t xml:space="preserve">Extra 10 / 30 / 50 kt LCE equity supply in 2030 / 2035 / 2040 (from 2031)</t>
  </si>
  <si>
    <t xml:space="preserve">Lever: sodium-ion push</t>
  </si>
  <si>
    <t xml:space="preserve">Sodium-ion share in 2W, 3W and storage +15 / +30 / +40 points by 2030 / 2035 / 2040</t>
  </si>
  <si>
    <t xml:space="preserve">Lever: exploration fast-track</t>
  </si>
  <si>
    <t xml:space="preserve">Domestic mining from 2032: 1.5 kt LCE by 2035, 4 kt by 2040</t>
  </si>
  <si>
    <t xml:space="preserve">India's accessible share of world lithium supply</t>
  </si>
  <si>
    <t xml:space="preserve">Stress test. India is ~1% of world lithium use today and ~3.5% of world GDP</t>
  </si>
  <si>
    <t xml:space="preserve">All quantities in tonnes of lithium carbonate equivalent (t LCE)</t>
  </si>
  <si>
    <t xml:space="preserve">Year</t>
  </si>
  <si>
    <t xml:space="preserve">EVs</t>
  </si>
  <si>
    <t xml:space="preserve">Grid storage</t>
  </si>
  <si>
    <t xml:space="preserve">Electronics</t>
  </si>
  <si>
    <t xml:space="preserve">Defence and aerospace</t>
  </si>
  <si>
    <t xml:space="preserve">Industry</t>
  </si>
  <si>
    <t xml:space="preserve">Total demand</t>
  </si>
  <si>
    <t xml:space="preserve">Energy transition</t>
  </si>
  <si>
    <t xml:space="preserve">Non-energy</t>
  </si>
  <si>
    <t xml:space="preserve">Recycling</t>
  </si>
  <si>
    <t xml:space="preserve">Domestic mining</t>
  </si>
  <si>
    <t xml:space="preserve">Overseas equity</t>
  </si>
  <si>
    <t xml:space="preserve">Import ceiling</t>
  </si>
  <si>
    <t xml:space="preserve">Available supply</t>
  </si>
  <si>
    <t xml:space="preserve">Shortfall</t>
  </si>
  <si>
    <t xml:space="preserve">Energy coverage</t>
  </si>
  <si>
    <t xml:space="preserve">Import dependence</t>
  </si>
  <si>
    <t xml:space="preserve">Recycled content</t>
  </si>
  <si>
    <t xml:space="preserve">Mandate</t>
  </si>
  <si>
    <t xml:space="preserve">Key</t>
  </si>
  <si>
    <t xml:space="preserve">Param</t>
  </si>
  <si>
    <t xml:space="preserve">Sub_Sector</t>
  </si>
  <si>
    <t xml:space="preserve">Scenario</t>
  </si>
  <si>
    <t xml:space="preserve">Y2025</t>
  </si>
  <si>
    <t xml:space="preserve">Y2030</t>
  </si>
  <si>
    <t xml:space="preserve">Y2035</t>
  </si>
  <si>
    <t xml:space="preserve">Y2040</t>
  </si>
  <si>
    <t xml:space="preserve">Unit</t>
  </si>
  <si>
    <t xml:space="preserve">Source_ID</t>
  </si>
  <si>
    <t xml:space="preserve">Note</t>
  </si>
  <si>
    <t xml:space="preserve">Market_Units</t>
  </si>
  <si>
    <t xml:space="preserve">EV_2W</t>
  </si>
  <si>
    <t xml:space="preserve">All</t>
  </si>
  <si>
    <t xml:space="preserve">vehicles/yr</t>
  </si>
  <si>
    <t xml:space="preserve">S07; S08; S10; A00</t>
  </si>
  <si>
    <t xml:space="preserve">2025 from Ref_Base_Year_2025; grows 4%/yr</t>
  </si>
  <si>
    <t xml:space="preserve">EV_3W_L5</t>
  </si>
  <si>
    <t xml:space="preserve">2025 from Ref_Base_Year_2025; grows 3%/yr</t>
  </si>
  <si>
    <t xml:space="preserve">EV_3W_L3</t>
  </si>
  <si>
    <t xml:space="preserve">2025 from Ref_Base_Year_2025; grows 2%/yr</t>
  </si>
  <si>
    <t xml:space="preserve">EV_4W</t>
  </si>
  <si>
    <t xml:space="preserve">2025 from Ref_Base_Year_2025; grows 5%/yr</t>
  </si>
  <si>
    <t xml:space="preserve">EV_Bus</t>
  </si>
  <si>
    <t xml:space="preserve">EV_Truck</t>
  </si>
  <si>
    <t xml:space="preserve">EV_Share</t>
  </si>
  <si>
    <t xml:space="preserve">Low</t>
  </si>
  <si>
    <t xml:space="preserve">share of sales</t>
  </si>
  <si>
    <t xml:space="preserve">S08; S25; A00</t>
  </si>
  <si>
    <t xml:space="preserve">High tracks the NITI Aayog 2030 ambition (80% 2W/3W, 30% private cars, 40% buses)</t>
  </si>
  <si>
    <t xml:space="preserve">High</t>
  </si>
  <si>
    <t xml:space="preserve">LiIon_Share</t>
  </si>
  <si>
    <t xml:space="preserve">share of L3 sales</t>
  </si>
  <si>
    <t xml:space="preserve">S27; A00</t>
  </si>
  <si>
    <t xml:space="preserve">~10% of e-rickshaws were Li-ion in FY2023; rest lead-acid</t>
  </si>
  <si>
    <t xml:space="preserve">share</t>
  </si>
  <si>
    <t xml:space="preserve">A00</t>
  </si>
  <si>
    <t xml:space="preserve">kWh_per_Unit</t>
  </si>
  <si>
    <t xml:space="preserve">kWh</t>
  </si>
  <si>
    <t xml:space="preserve">S10; A00</t>
  </si>
  <si>
    <t xml:space="preserve">2025 sizes calibrated so segment GWh shares match IESA CY2025 (4W 40%, 3W 27%, 2W 23%, bus 7.8%)</t>
  </si>
  <si>
    <t xml:space="preserve">LFP_Share</t>
  </si>
  <si>
    <t xml:space="preserve">share of Li-ion kWh (rest NMC)</t>
  </si>
  <si>
    <t xml:space="preserve">BESS</t>
  </si>
  <si>
    <t xml:space="preserve">NaIon_Share</t>
  </si>
  <si>
    <t xml:space="preserve">share of kWh</t>
  </si>
  <si>
    <t xml:space="preserve">Sodium-ion enters low-range 2W/3W and storage first</t>
  </si>
  <si>
    <t xml:space="preserve">BESS_Cumulative_GWh</t>
  </si>
  <si>
    <t xml:space="preserve">GWh installed</t>
  </si>
  <si>
    <t xml:space="preserve">S11; S12; A00</t>
  </si>
  <si>
    <t xml:space="preserve">CEA NEP: 193-335 GWh by FY2032 (base 236); 4.7 GWh operating and 35 GWh awarded by May 2026</t>
  </si>
  <si>
    <t xml:space="preserve">Units</t>
  </si>
  <si>
    <t xml:space="preserve">ELEC_Phone</t>
  </si>
  <si>
    <t xml:space="preserve">devices/yr</t>
  </si>
  <si>
    <t xml:space="preserve">S13</t>
  </si>
  <si>
    <t xml:space="preserve">grows -1%/yr</t>
  </si>
  <si>
    <t xml:space="preserve">grows 1%/yr</t>
  </si>
  <si>
    <t xml:space="preserve">grows 3%/yr</t>
  </si>
  <si>
    <t xml:space="preserve">ELEC_PC</t>
  </si>
  <si>
    <t xml:space="preserve">S14</t>
  </si>
  <si>
    <t xml:space="preserve">grows 2%/yr</t>
  </si>
  <si>
    <t xml:space="preserve">grows 4%/yr</t>
  </si>
  <si>
    <t xml:space="preserve">grows 6%/yr</t>
  </si>
  <si>
    <t xml:space="preserve">ELEC_Tablet</t>
  </si>
  <si>
    <t xml:space="preserve">grows 0%/yr</t>
  </si>
  <si>
    <t xml:space="preserve">grows 5%/yr</t>
  </si>
  <si>
    <t xml:space="preserve">ELEC_Wearable</t>
  </si>
  <si>
    <t xml:space="preserve">S15</t>
  </si>
  <si>
    <t xml:space="preserve">grows -2%/yr</t>
  </si>
  <si>
    <t xml:space="preserve">ELEC_PowerBank</t>
  </si>
  <si>
    <t xml:space="preserve">ELEC_ExportAssembly</t>
  </si>
  <si>
    <t xml:space="preserve">S28; A00</t>
  </si>
  <si>
    <t xml:space="preserve">grows 3%/yr; export phones = ICEA Rs 2 lakh cr / ~Rs 22k per phone</t>
  </si>
  <si>
    <t xml:space="preserve">grows 7%/yr; export phones = ICEA Rs 2 lakh cr / ~Rs 22k per phone</t>
  </si>
  <si>
    <t xml:space="preserve">grows 10%/yr; export phones = ICEA Rs 2 lakh cr / ~Rs 22k per phone</t>
  </si>
  <si>
    <t xml:space="preserve">Wh_per_Unit</t>
  </si>
  <si>
    <t xml:space="preserve">Wh</t>
  </si>
  <si>
    <t xml:space="preserve">5,000 mAh x 3.87 V = 19.4 Wh for a phone</t>
  </si>
  <si>
    <t xml:space="preserve">t_LCE</t>
  </si>
  <si>
    <t xml:space="preserve">DEF_Defence</t>
  </si>
  <si>
    <t xml:space="preserve">t LCE</t>
  </si>
  <si>
    <t xml:space="preserve">No public data; band for drones, missiles, submarines, space cells and Al-Li alloy; grows 5%/yr</t>
  </si>
  <si>
    <t xml:space="preserve">No public data; band for drones, missiles, submarines, space cells and Al-Li alloy; grows 8%/yr</t>
  </si>
  <si>
    <t xml:space="preserve">No public data; band for drones, missiles, submarines, space cells and Al-Li alloy; grows 12%/yr</t>
  </si>
  <si>
    <t xml:space="preserve">IND_Grease</t>
  </si>
  <si>
    <t xml:space="preserve">S06; S26</t>
  </si>
  <si>
    <t xml:space="preserve">2025 from cleaned trade data; grows 3%/yr</t>
  </si>
  <si>
    <t xml:space="preserve">2025 from cleaned trade data; grows 5%/yr</t>
  </si>
  <si>
    <t xml:space="preserve">2025 from cleaned trade data; grows 7%/yr</t>
  </si>
  <si>
    <t xml:space="preserve">IND_GlassCeramics</t>
  </si>
  <si>
    <t xml:space="preserve">IND_Pharma_Other</t>
  </si>
  <si>
    <t xml:space="preserve">Domestic_Mining_t_LCE</t>
  </si>
  <si>
    <t xml:space="preserve">Supply</t>
  </si>
  <si>
    <t xml:space="preserve">S02; S20; S24; A00</t>
  </si>
  <si>
    <t xml:space="preserve">start none; Reasi holds ~18,300 t LCE in total; IEA lead time &gt;16 yrs</t>
  </si>
  <si>
    <t xml:space="preserve">Domestic_Mining_Start</t>
  </si>
  <si>
    <t xml:space="preserve">year</t>
  </si>
  <si>
    <t xml:space="preserve">S24; A00</t>
  </si>
  <si>
    <t xml:space="preserve">start 2039; Reasi holds ~18,300 t LCE in total; IEA lead time &gt;16 yrs</t>
  </si>
  <si>
    <t xml:space="preserve">start 2033; Reasi holds ~18,300 t LCE in total; IEA lead time &gt;16 yrs</t>
  </si>
  <si>
    <t xml:space="preserve">Overseas_Equity_t_LCE</t>
  </si>
  <si>
    <t xml:space="preserve">S19; A00</t>
  </si>
  <si>
    <t xml:space="preserve">KABIL Catamarca first output targeted Dec 2030</t>
  </si>
  <si>
    <t xml:space="preserve">Overseas_Equity_Start</t>
  </si>
  <si>
    <t xml:space="preserve">Collection_Rate</t>
  </si>
  <si>
    <t xml:space="preserve">EV_BESS</t>
  </si>
  <si>
    <t xml:space="preserve">share of retired</t>
  </si>
  <si>
    <t xml:space="preserve">S17; A00</t>
  </si>
  <si>
    <t xml:space="preserve">BWMR: 70% EV collection by 2027-28</t>
  </si>
  <si>
    <t xml:space="preserve">informal sector handles most e-waste today</t>
  </si>
  <si>
    <t xml:space="preserve">Li_Recovery</t>
  </si>
  <si>
    <t xml:space="preserve">share of Li recovered</t>
  </si>
  <si>
    <t xml:space="preserve">hydrometallurgy</t>
  </si>
  <si>
    <t xml:space="preserve">Global_Supply_t_LCE</t>
  </si>
  <si>
    <t xml:space="preserve">S01; S22; S23; A00</t>
  </si>
  <si>
    <t xml:space="preserve">2025 = 290 kt Li (USGS); IEA sees demand x3 to 2040 with a narrowing gap</t>
  </si>
  <si>
    <t xml:space="preserve">India_Accessible_Share</t>
  </si>
  <si>
    <t xml:space="preserve">share of global supply</t>
  </si>
  <si>
    <t xml:space="preserve">stress-test lever; India is ~3.5% of world GDP and ~1% of lithium use today</t>
  </si>
  <si>
    <t xml:space="preserve">Row_in_Assumptions</t>
  </si>
  <si>
    <t xml:space="preserve">A2025</t>
  </si>
  <si>
    <t xml:space="preserve">A2030</t>
  </si>
  <si>
    <t xml:space="preserve">A2035</t>
  </si>
  <si>
    <t xml:space="preserve">A2040</t>
  </si>
  <si>
    <t xml:space="preserve">Sales before 2025, used only to work out what retires into recycling (A00, rounded from S07/S08 FY totals)</t>
  </si>
  <si>
    <t xml:space="preserve">EV_2W units</t>
  </si>
  <si>
    <t xml:space="preserve">EV_3W_L5 units</t>
  </si>
  <si>
    <t xml:space="preserve">EV_3W_L3 units</t>
  </si>
  <si>
    <t xml:space="preserve">EV_4W units</t>
  </si>
  <si>
    <t xml:space="preserve">EV_Bus units</t>
  </si>
  <si>
    <t xml:space="preserve">EV_Truck units</t>
  </si>
  <si>
    <t xml:space="preserve">EV_3W_L3 Li-ion share</t>
  </si>
  <si>
    <t xml:space="preserve">BESS added (GWh)</t>
  </si>
  <si>
    <t xml:space="preserve">Calculation sheet: one block per use, years across. History columns (2013-2024) feed recycling only.</t>
  </si>
  <si>
    <t xml:space="preserve">Use</t>
  </si>
  <si>
    <t xml:space="preserve">Line</t>
  </si>
  <si>
    <t xml:space="preserve">kg LCE/kWh</t>
  </si>
  <si>
    <t xml:space="preserve">Lever</t>
  </si>
  <si>
    <t xml:space="preserve">NaIon</t>
  </si>
  <si>
    <t xml:space="preserve">Extra sodium-ion share (lever)</t>
  </si>
  <si>
    <t xml:space="preserve">LFP</t>
  </si>
  <si>
    <t xml:space="preserve">NMC811</t>
  </si>
  <si>
    <t xml:space="preserve">Electric two-wheelers</t>
  </si>
  <si>
    <t xml:space="preserve">LCO</t>
  </si>
  <si>
    <t xml:space="preserve">GWh</t>
  </si>
  <si>
    <t xml:space="preserve">kg LCE per kWh</t>
  </si>
  <si>
    <t xml:space="preserve">from Project_I_Data_Cleaning.xlsx, Chemistry tab</t>
  </si>
  <si>
    <t xml:space="preserve">Electric 3W (L5 autos and cargo)</t>
  </si>
  <si>
    <t xml:space="preserve">E-rickshaws and e-carts (L3)</t>
  </si>
  <si>
    <t xml:space="preserve">Electric cars</t>
  </si>
  <si>
    <t xml:space="preserve">Electric buses</t>
  </si>
  <si>
    <t xml:space="preserve">Electric trucks and goods carriers</t>
  </si>
  <si>
    <t xml:space="preserve">Grid battery storage</t>
  </si>
  <si>
    <t xml:space="preserve">Cumulative GWh</t>
  </si>
  <si>
    <t xml:space="preserve">New GWh (ramp)</t>
  </si>
  <si>
    <t xml:space="preserve">GWh added</t>
  </si>
  <si>
    <t xml:space="preserve">Smartphones (domestic sales)</t>
  </si>
  <si>
    <t xml:space="preserve">Laptops and PCs</t>
  </si>
  <si>
    <t xml:space="preserve">Tablets</t>
  </si>
  <si>
    <t xml:space="preserve">Wearables</t>
  </si>
  <si>
    <t xml:space="preserve">Power banks</t>
  </si>
  <si>
    <t xml:space="preserve">Phones assembled for export</t>
  </si>
  <si>
    <t xml:space="preserve">Lubricating greases</t>
  </si>
  <si>
    <t xml:space="preserve">Glass and ceramics</t>
  </si>
  <si>
    <t xml:space="preserve">Pharma, air treatment and other</t>
  </si>
  <si>
    <t xml:space="preserve">Totals</t>
  </si>
  <si>
    <t xml:space="preserve">Energy</t>
  </si>
  <si>
    <t xml:space="preserve">Energy transition demand (t LCE)</t>
  </si>
  <si>
    <t xml:space="preserve">NonEnergy</t>
  </si>
  <si>
    <t xml:space="preserve">Non-energy demand (t LCE)</t>
  </si>
  <si>
    <t xml:space="preserve">Total demand (t LCE)</t>
  </si>
  <si>
    <t xml:space="preserve">Battery</t>
  </si>
  <si>
    <t xml:space="preserve">Battery demand incl. electronics (t LCE)</t>
  </si>
  <si>
    <t xml:space="preserve">Collection rate EV and storage</t>
  </si>
  <si>
    <t xml:space="preserve">Collection rate electronics</t>
  </si>
  <si>
    <t xml:space="preserve">Lithium recovery</t>
  </si>
  <si>
    <t xml:space="preserve">Recycled lithium (t LCE)</t>
  </si>
  <si>
    <t xml:space="preserve">Mining</t>
  </si>
  <si>
    <t xml:space="preserve">Domestic mining (t LCE)</t>
  </si>
  <si>
    <t xml:space="preserve">Equity</t>
  </si>
  <si>
    <t xml:space="preserve">Overseas equity (t LCE)</t>
  </si>
  <si>
    <t xml:space="preserve">Ceiling</t>
  </si>
  <si>
    <t xml:space="preserve">Import ceiling (t LCE)</t>
  </si>
  <si>
    <t xml:space="preserve">Balance</t>
  </si>
  <si>
    <t xml:space="preserve">Bal</t>
  </si>
  <si>
    <t xml:space="preserve">Net import need (t LCE)</t>
  </si>
  <si>
    <t xml:space="preserve">Open-market import need (t LCE)</t>
  </si>
  <si>
    <t xml:space="preserve">Available supply (t LCE)</t>
  </si>
  <si>
    <t xml:space="preserve">Shortfall (t LCE)</t>
  </si>
  <si>
    <t xml:space="preserve">Energy coverage ratio</t>
  </si>
  <si>
    <t xml:space="preserve">Recycled content share</t>
  </si>
  <si>
    <t xml:space="preserve">Recycled content mandate (BWMR)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</si>
</sst>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%"/>
    <numFmt numFmtId="167" formatCode="#,##0"/>
    <numFmt numFmtId="168" formatCode="0%"/>
    <numFmt numFmtId="169" formatCode="0.00"/>
    <numFmt numFmtId="170" formatCode="#,##0.00"/>
    <numFmt numFmtId="171" formatCode="0.000"/>
    <numFmt numFmtId="172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Lithium demand by use (t LCE)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Results!B3</c:f>
              <c:strCache>
                <c:ptCount val="1"/>
                <c:pt idx="0">
                  <c:v>EVs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Results!$B$4:$B$19</c:f>
              <c:numCache>
                <c:formatCode>#,##0</c:formatCode>
                <c:ptCount val="16"/>
                <c:pt idx="0">
                  <c:v>8774.90488494</c:v>
                </c:pt>
                <c:pt idx="1">
                  <c:v>13714.9254812225</c:v>
                </c:pt>
                <c:pt idx="2">
                  <c:v>19277.175371192</c:v>
                </c:pt>
                <c:pt idx="3">
                  <c:v>25485.1404577559</c:v>
                </c:pt>
                <c:pt idx="4">
                  <c:v>32361.6933152991</c:v>
                </c:pt>
                <c:pt idx="5">
                  <c:v>39929.0968589827</c:v>
                </c:pt>
                <c:pt idx="6">
                  <c:v>50908.6658998513</c:v>
                </c:pt>
                <c:pt idx="7">
                  <c:v>63073.1366025147</c:v>
                </c:pt>
                <c:pt idx="8">
                  <c:v>76464.3639781214</c:v>
                </c:pt>
                <c:pt idx="9">
                  <c:v>91123.5255242571</c:v>
                </c:pt>
                <c:pt idx="10">
                  <c:v>107091.124076429</c:v>
                </c:pt>
                <c:pt idx="11">
                  <c:v>126773.833441659</c:v>
                </c:pt>
                <c:pt idx="12">
                  <c:v>148410.496989865</c:v>
                </c:pt>
                <c:pt idx="13">
                  <c:v>172077.034819875</c:v>
                </c:pt>
                <c:pt idx="14">
                  <c:v>197848.877006659</c:v>
                </c:pt>
                <c:pt idx="15">
                  <c:v>225800.965821663</c:v>
                </c:pt>
              </c:numCache>
            </c:numRef>
          </c:val>
        </c:ser>
        <c:ser>
          <c:idx val="1"/>
          <c:order val="1"/>
          <c:tx>
            <c:strRef>
              <c:f>Results!C3</c:f>
              <c:strCache>
                <c:ptCount val="1"/>
                <c:pt idx="0">
                  <c:v>Grid storage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Results!$C$4:$C$19</c:f>
              <c:numCache>
                <c:formatCode>#,##0</c:formatCode>
                <c:ptCount val="16"/>
                <c:pt idx="0">
                  <c:v>1331.622</c:v>
                </c:pt>
                <c:pt idx="1">
                  <c:v>4469.58329066667</c:v>
                </c:pt>
                <c:pt idx="2">
                  <c:v>7569.56529333333</c:v>
                </c:pt>
                <c:pt idx="3">
                  <c:v>10631.568008</c:v>
                </c:pt>
                <c:pt idx="4">
                  <c:v>13655.5914346667</c:v>
                </c:pt>
                <c:pt idx="5">
                  <c:v>16641.6355733333</c:v>
                </c:pt>
                <c:pt idx="6">
                  <c:v>17187.3454933333</c:v>
                </c:pt>
                <c:pt idx="7">
                  <c:v>17718.1122222222</c:v>
                </c:pt>
                <c:pt idx="8">
                  <c:v>18248.3234</c:v>
                </c:pt>
                <c:pt idx="9">
                  <c:v>18772.7749866667</c:v>
                </c:pt>
                <c:pt idx="10">
                  <c:v>19352.1807822222</c:v>
                </c:pt>
                <c:pt idx="11">
                  <c:v>19272.4807395556</c:v>
                </c:pt>
                <c:pt idx="12">
                  <c:v>19795.4259134815</c:v>
                </c:pt>
                <c:pt idx="13">
                  <c:v>22314.4881493333</c:v>
                </c:pt>
                <c:pt idx="14">
                  <c:v>24785.4389031111</c:v>
                </c:pt>
                <c:pt idx="15">
                  <c:v>27208.2781748148</c:v>
                </c:pt>
              </c:numCache>
            </c:numRef>
          </c:val>
        </c:ser>
        <c:ser>
          <c:idx val="2"/>
          <c:order val="2"/>
          <c:tx>
            <c:strRef>
              <c:f>Results!D3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Results!$D$4:$D$19</c:f>
              <c:numCache>
                <c:formatCode>#,##0</c:formatCode>
                <c:ptCount val="16"/>
                <c:pt idx="0">
                  <c:v>4239.89455</c:v>
                </c:pt>
                <c:pt idx="1">
                  <c:v>4454.71985862198</c:v>
                </c:pt>
                <c:pt idx="2">
                  <c:v>4674.0341549723</c:v>
                </c:pt>
                <c:pt idx="3">
                  <c:v>4897.83743905097</c:v>
                </c:pt>
                <c:pt idx="4">
                  <c:v>5126.12971085799</c:v>
                </c:pt>
                <c:pt idx="5">
                  <c:v>5358.91097039335</c:v>
                </c:pt>
                <c:pt idx="6">
                  <c:v>5653.59390206777</c:v>
                </c:pt>
                <c:pt idx="7">
                  <c:v>5955.20241158348</c:v>
                </c:pt>
                <c:pt idx="8">
                  <c:v>6263.73649894049</c:v>
                </c:pt>
                <c:pt idx="9">
                  <c:v>6579.19616413881</c:v>
                </c:pt>
                <c:pt idx="10">
                  <c:v>6901.58140717841</c:v>
                </c:pt>
                <c:pt idx="11">
                  <c:v>7243.65750407487</c:v>
                </c:pt>
                <c:pt idx="12">
                  <c:v>7589.94244600671</c:v>
                </c:pt>
                <c:pt idx="13">
                  <c:v>7940.43623297393</c:v>
                </c:pt>
                <c:pt idx="14">
                  <c:v>8295.13886497653</c:v>
                </c:pt>
                <c:pt idx="15">
                  <c:v>8654.05034201452</c:v>
                </c:pt>
              </c:numCache>
            </c:numRef>
          </c:val>
        </c:ser>
        <c:ser>
          <c:idx val="3"/>
          <c:order val="3"/>
          <c:tx>
            <c:strRef>
              <c:f>Results!E3</c:f>
              <c:strCache>
                <c:ptCount val="1"/>
                <c:pt idx="0">
                  <c:v>Defence and aerospace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Results!$E$4:$E$19</c:f>
              <c:numCache>
                <c:formatCode>#,##0</c:formatCode>
                <c:ptCount val="16"/>
                <c:pt idx="0">
                  <c:v>150</c:v>
                </c:pt>
                <c:pt idx="1">
                  <c:v>164.079842304</c:v>
                </c:pt>
                <c:pt idx="2">
                  <c:v>178.159684608</c:v>
                </c:pt>
                <c:pt idx="3">
                  <c:v>192.239526912</c:v>
                </c:pt>
                <c:pt idx="4">
                  <c:v>206.319369216</c:v>
                </c:pt>
                <c:pt idx="5">
                  <c:v>220.39921152</c:v>
                </c:pt>
                <c:pt idx="6">
                  <c:v>241.087119134184</c:v>
                </c:pt>
                <c:pt idx="7">
                  <c:v>261.775026748367</c:v>
                </c:pt>
                <c:pt idx="8">
                  <c:v>282.462934362551</c:v>
                </c:pt>
                <c:pt idx="9">
                  <c:v>303.150841976735</c:v>
                </c:pt>
                <c:pt idx="10">
                  <c:v>323.838749590918</c:v>
                </c:pt>
                <c:pt idx="11">
                  <c:v>354.236073098683</c:v>
                </c:pt>
                <c:pt idx="12">
                  <c:v>384.633396606447</c:v>
                </c:pt>
                <c:pt idx="13">
                  <c:v>415.030720114212</c:v>
                </c:pt>
                <c:pt idx="14">
                  <c:v>445.428043621976</c:v>
                </c:pt>
                <c:pt idx="15">
                  <c:v>475.825367129741</c:v>
                </c:pt>
              </c:numCache>
            </c:numRef>
          </c:val>
        </c:ser>
        <c:ser>
          <c:idx val="4"/>
          <c:order val="4"/>
          <c:tx>
            <c:strRef>
              <c:f>Results!F3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Results!$F$4:$F$19</c:f>
              <c:numCache>
                <c:formatCode>#,##0</c:formatCode>
                <c:ptCount val="16"/>
                <c:pt idx="0">
                  <c:v>1704</c:v>
                </c:pt>
                <c:pt idx="1">
                  <c:v>1798.1567565</c:v>
                </c:pt>
                <c:pt idx="2">
                  <c:v>1892.313513</c:v>
                </c:pt>
                <c:pt idx="3">
                  <c:v>1986.4702695</c:v>
                </c:pt>
                <c:pt idx="4">
                  <c:v>2080.627026</c:v>
                </c:pt>
                <c:pt idx="5">
                  <c:v>2174.7837825</c:v>
                </c:pt>
                <c:pt idx="6">
                  <c:v>2294.95431480575</c:v>
                </c:pt>
                <c:pt idx="7">
                  <c:v>2415.1248471115</c:v>
                </c:pt>
                <c:pt idx="8">
                  <c:v>2535.29537941726</c:v>
                </c:pt>
                <c:pt idx="9">
                  <c:v>2655.46591172301</c:v>
                </c:pt>
                <c:pt idx="10">
                  <c:v>2775.63644402876</c:v>
                </c:pt>
                <c:pt idx="11">
                  <c:v>2929.0078787664</c:v>
                </c:pt>
                <c:pt idx="12">
                  <c:v>3082.37931350405</c:v>
                </c:pt>
                <c:pt idx="13">
                  <c:v>3235.75074824169</c:v>
                </c:pt>
                <c:pt idx="14">
                  <c:v>3389.12218297933</c:v>
                </c:pt>
                <c:pt idx="15">
                  <c:v>3542.49361771697</c:v>
                </c:pt>
              </c:numCache>
            </c:numRef>
          </c:val>
        </c:ser>
        <c:gapWidth val="150"/>
        <c:overlap val="100"/>
        <c:axId val="80712388"/>
        <c:axId val="94896527"/>
      </c:barChart>
      <c:catAx>
        <c:axId val="80712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96527"/>
        <c:crosses val="autoZero"/>
        <c:auto val="1"/>
        <c:lblAlgn val="ctr"/>
        <c:lblOffset val="100"/>
        <c:noMultiLvlLbl val="0"/>
      </c:catAx>
      <c:valAx>
        <c:axId val="94896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12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vs supply India can reach (t LCE)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Results!G3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Results!$G$4:$G$19</c:f>
              <c:numCache>
                <c:formatCode>#,##0</c:formatCode>
                <c:ptCount val="16"/>
                <c:pt idx="0">
                  <c:v>16200.42143494</c:v>
                </c:pt>
                <c:pt idx="1">
                  <c:v>24601.4652293152</c:v>
                </c:pt>
                <c:pt idx="2">
                  <c:v>33591.2480171056</c:v>
                </c:pt>
                <c:pt idx="3">
                  <c:v>43193.2557012189</c:v>
                </c:pt>
                <c:pt idx="4">
                  <c:v>53430.3608560397</c:v>
                </c:pt>
                <c:pt idx="5">
                  <c:v>64324.8263967293</c:v>
                </c:pt>
                <c:pt idx="6">
                  <c:v>76285.6467291923</c:v>
                </c:pt>
                <c:pt idx="7">
                  <c:v>89423.3511101803</c:v>
                </c:pt>
                <c:pt idx="8">
                  <c:v>103794.182190842</c:v>
                </c:pt>
                <c:pt idx="9">
                  <c:v>119434.113428762</c:v>
                </c:pt>
                <c:pt idx="10">
                  <c:v>136444.36145945</c:v>
                </c:pt>
                <c:pt idx="11">
                  <c:v>156573.215637155</c:v>
                </c:pt>
                <c:pt idx="12">
                  <c:v>179262.878059464</c:v>
                </c:pt>
                <c:pt idx="13">
                  <c:v>205982.740670538</c:v>
                </c:pt>
                <c:pt idx="14">
                  <c:v>234764.005001348</c:v>
                </c:pt>
                <c:pt idx="15">
                  <c:v>265681.613323339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Results!N3</c:f>
              <c:strCache>
                <c:ptCount val="1"/>
                <c:pt idx="0">
                  <c:v>Available supply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Results!$A$4:$A$19</c:f>
              <c:strCach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strCache>
            </c:strRef>
          </c:cat>
          <c:val>
            <c:numRef>
              <c:f>Results!$N$4:$N$19</c:f>
              <c:numCache>
                <c:formatCode>#,##0</c:formatCode>
                <c:ptCount val="16"/>
                <c:pt idx="0">
                  <c:v>46753.0880028</c:v>
                </c:pt>
                <c:pt idx="1">
                  <c:v>53238.803523198</c:v>
                </c:pt>
                <c:pt idx="2">
                  <c:v>59832.788880624</c:v>
                </c:pt>
                <c:pt idx="3">
                  <c:v>66719.5894889962</c:v>
                </c:pt>
                <c:pt idx="4">
                  <c:v>73689.1008793607</c:v>
                </c:pt>
                <c:pt idx="5">
                  <c:v>80987.4018257023</c:v>
                </c:pt>
                <c:pt idx="6">
                  <c:v>87178.5126065588</c:v>
                </c:pt>
                <c:pt idx="7">
                  <c:v>96498.4752125859</c:v>
                </c:pt>
                <c:pt idx="8">
                  <c:v>105387.981148384</c:v>
                </c:pt>
                <c:pt idx="9">
                  <c:v>114707.621991012</c:v>
                </c:pt>
                <c:pt idx="10">
                  <c:v>126169.072134612</c:v>
                </c:pt>
                <c:pt idx="11">
                  <c:v>138191.35211308</c:v>
                </c:pt>
                <c:pt idx="12">
                  <c:v>151447.888607543</c:v>
                </c:pt>
                <c:pt idx="13">
                  <c:v>167184.290744908</c:v>
                </c:pt>
                <c:pt idx="14">
                  <c:v>184679.104777784</c:v>
                </c:pt>
                <c:pt idx="15">
                  <c:v>202740.277982299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549115"/>
        <c:axId val="86840587"/>
      </c:lineChart>
      <c:catAx>
        <c:axId val="67549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40587"/>
        <c:crosses val="autoZero"/>
        <c:auto val="1"/>
        <c:lblAlgn val="ctr"/>
        <c:lblOffset val="100"/>
        <c:noMultiLvlLbl val="0"/>
      </c:catAx>
      <c:valAx>
        <c:axId val="86840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49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160920</xdr:rowOff>
    </xdr:from>
    <xdr:to>
      <xdr:col>8</xdr:col>
      <xdr:colOff>559080</xdr:colOff>
      <xdr:row>37</xdr:row>
      <xdr:rowOff>162000</xdr:rowOff>
    </xdr:to>
    <xdr:graphicFrame>
      <xdr:nvGraphicFramePr>
        <xdr:cNvPr id="0" name="Chart 1"/>
        <xdr:cNvGraphicFramePr/>
      </xdr:nvGraphicFramePr>
      <xdr:xfrm>
        <a:off x="846000" y="4210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160920</xdr:rowOff>
    </xdr:from>
    <xdr:to>
      <xdr:col>18</xdr:col>
      <xdr:colOff>559080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9304200" y="4210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s">
        <v>2</v>
      </c>
      <c r="C3" s="3" t="s">
        <v>3</v>
      </c>
    </row>
    <row r="5" customFormat="false" ht="15" hidden="false" customHeight="false" outlineLevel="0" collapsed="false">
      <c r="A5" s="0" t="s">
        <v>4</v>
      </c>
      <c r="B5" s="4" t="b">
        <f aca="false">FALSE()</f>
        <v>0</v>
      </c>
      <c r="C5" s="3" t="s">
        <v>5</v>
      </c>
    </row>
    <row r="6" customFormat="false" ht="15" hidden="false" customHeight="false" outlineLevel="0" collapsed="false">
      <c r="A6" s="0" t="s">
        <v>6</v>
      </c>
      <c r="B6" s="4" t="b">
        <f aca="false">FALSE()</f>
        <v>0</v>
      </c>
      <c r="C6" s="3" t="s">
        <v>7</v>
      </c>
    </row>
    <row r="7" customFormat="false" ht="15" hidden="false" customHeight="false" outlineLevel="0" collapsed="false">
      <c r="A7" s="0" t="s">
        <v>8</v>
      </c>
      <c r="B7" s="4" t="b">
        <f aca="false">FALSE()</f>
        <v>0</v>
      </c>
      <c r="C7" s="3" t="s">
        <v>9</v>
      </c>
    </row>
    <row r="8" customFormat="false" ht="15" hidden="false" customHeight="false" outlineLevel="0" collapsed="false">
      <c r="A8" s="0" t="s">
        <v>10</v>
      </c>
      <c r="B8" s="4" t="b">
        <f aca="false">FALSE()</f>
        <v>0</v>
      </c>
      <c r="C8" s="3" t="s">
        <v>11</v>
      </c>
    </row>
    <row r="10" customFormat="false" ht="15" hidden="false" customHeight="false" outlineLevel="0" collapsed="false">
      <c r="A10" s="0" t="s">
        <v>12</v>
      </c>
      <c r="B10" s="5" t="n">
        <v>0.03</v>
      </c>
      <c r="C10" s="3" t="s">
        <v>13</v>
      </c>
    </row>
  </sheetData>
  <dataValidations count="2">
    <dataValidation allowBlank="false" errorStyle="stop" operator="between" showDropDown="false" showErrorMessage="false" showInputMessage="false" sqref="B3" type="list">
      <formula1>"Low,Base,High"</formula1>
      <formula2>0</formula2>
    </dataValidation>
    <dataValidation allowBlank="false" errorStyle="stop" operator="between" showDropDown="false" showErrorMessage="false" showInputMessage="false" sqref="B5:B8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2"/>
  </cols>
  <sheetData>
    <row r="1" customFormat="false" ht="17.35" hidden="false" customHeight="false" outlineLevel="0" collapsed="false">
      <c r="A1" s="1" t="str">
        <f aca="false">" Results: "&amp;Control!B3&amp;" scenario"&amp;IF(OR(Control!B5,Control!B6,Control!B7,Control!B8),", levers on","")</f>
        <v> Results: Base scenario</v>
      </c>
    </row>
    <row r="2" customFormat="false" ht="15" hidden="false" customHeight="false" outlineLevel="0" collapsed="false">
      <c r="A2" s="0" t="s">
        <v>14</v>
      </c>
    </row>
    <row r="3" customFormat="false" ht="31.5" hidden="false" customHeight="tru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  <c r="R3" s="6" t="s">
        <v>32</v>
      </c>
      <c r="S3" s="6" t="s">
        <v>33</v>
      </c>
    </row>
    <row r="4" customFormat="false" ht="15" hidden="false" customHeight="false" outlineLevel="0" collapsed="false">
      <c r="A4" s="0" t="n">
        <v>2025</v>
      </c>
      <c r="B4" s="7" t="n">
        <f aca="false">Calc!P8+Calc!P13+Calc!P18+Calc!P23+Calc!P28+Calc!P33</f>
        <v>8774.90488494</v>
      </c>
      <c r="C4" s="7" t="n">
        <f aca="false">Calc!P39</f>
        <v>1331.622</v>
      </c>
      <c r="D4" s="7" t="n">
        <f aca="false">Calc!P43+Calc!P46+Calc!P49+Calc!P52+Calc!P55+Calc!P58</f>
        <v>4239.89455</v>
      </c>
      <c r="E4" s="7" t="n">
        <f aca="false">Calc!P60</f>
        <v>150</v>
      </c>
      <c r="F4" s="7" t="n">
        <f aca="false">Calc!P61+Calc!P62+Calc!P63</f>
        <v>1704</v>
      </c>
      <c r="G4" s="7" t="n">
        <f aca="false">Calc!P67</f>
        <v>16200.42143494</v>
      </c>
      <c r="H4" s="7" t="n">
        <f aca="false">Calc!P65</f>
        <v>10106.52688494</v>
      </c>
      <c r="I4" s="7" t="n">
        <f aca="false">Calc!P66</f>
        <v>6093.89455</v>
      </c>
      <c r="J4" s="7" t="n">
        <f aca="false">Calc!P73</f>
        <v>433.0880028</v>
      </c>
      <c r="K4" s="7" t="n">
        <f aca="false">Calc!P74</f>
        <v>0</v>
      </c>
      <c r="L4" s="7" t="n">
        <f aca="false">Calc!P75</f>
        <v>0</v>
      </c>
      <c r="M4" s="7" t="n">
        <f aca="false">Calc!P76</f>
        <v>46320</v>
      </c>
      <c r="N4" s="7" t="n">
        <f aca="false">Calc!P80</f>
        <v>46753.0880028</v>
      </c>
      <c r="O4" s="7" t="n">
        <f aca="false">Calc!P81</f>
        <v>0</v>
      </c>
      <c r="P4" s="8" t="n">
        <f aca="false">Calc!P82</f>
        <v>1</v>
      </c>
      <c r="Q4" s="8" t="n">
        <f aca="false">Calc!P83</f>
        <v>0.973266868115792</v>
      </c>
      <c r="R4" s="9" t="n">
        <f aca="false">Calc!P84</f>
        <v>0.0301878768000803</v>
      </c>
      <c r="S4" s="8" t="n">
        <f aca="false">Calc!P85</f>
        <v>0</v>
      </c>
    </row>
    <row r="5" customFormat="false" ht="15" hidden="false" customHeight="false" outlineLevel="0" collapsed="false">
      <c r="A5" s="0" t="n">
        <v>2026</v>
      </c>
      <c r="B5" s="7" t="n">
        <f aca="false">Calc!Q8+Calc!Q13+Calc!Q18+Calc!Q23+Calc!Q28+Calc!Q33</f>
        <v>13714.9254812225</v>
      </c>
      <c r="C5" s="7" t="n">
        <f aca="false">Calc!Q39</f>
        <v>4469.58329066667</v>
      </c>
      <c r="D5" s="7" t="n">
        <f aca="false">Calc!Q43+Calc!Q46+Calc!Q49+Calc!Q52+Calc!Q55+Calc!Q58</f>
        <v>4454.71985862198</v>
      </c>
      <c r="E5" s="7" t="n">
        <f aca="false">Calc!Q60</f>
        <v>164.079842304</v>
      </c>
      <c r="F5" s="7" t="n">
        <f aca="false">Calc!Q61+Calc!Q62+Calc!Q63</f>
        <v>1798.1567565</v>
      </c>
      <c r="G5" s="7" t="n">
        <f aca="false">Calc!Q67</f>
        <v>24601.4652293152</v>
      </c>
      <c r="H5" s="7" t="n">
        <f aca="false">Calc!Q65</f>
        <v>18184.5087718892</v>
      </c>
      <c r="I5" s="7" t="n">
        <f aca="false">Calc!Q66</f>
        <v>6416.95645742598</v>
      </c>
      <c r="J5" s="7" t="n">
        <f aca="false">Calc!Q73</f>
        <v>582.803523198</v>
      </c>
      <c r="K5" s="7" t="n">
        <f aca="false">Calc!Q74</f>
        <v>0</v>
      </c>
      <c r="L5" s="7" t="n">
        <f aca="false">Calc!Q75</f>
        <v>0</v>
      </c>
      <c r="M5" s="7" t="n">
        <f aca="false">Calc!Q76</f>
        <v>52656</v>
      </c>
      <c r="N5" s="7" t="n">
        <f aca="false">Calc!Q80</f>
        <v>53238.803523198</v>
      </c>
      <c r="O5" s="7" t="n">
        <f aca="false">Calc!Q81</f>
        <v>0</v>
      </c>
      <c r="P5" s="8" t="n">
        <f aca="false">Calc!Q82</f>
        <v>1</v>
      </c>
      <c r="Q5" s="8" t="n">
        <f aca="false">Calc!Q83</f>
        <v>0.976310210885182</v>
      </c>
      <c r="R5" s="9" t="n">
        <f aca="false">Calc!Q84</f>
        <v>0.0257430821831336</v>
      </c>
      <c r="S5" s="8" t="n">
        <f aca="false">Calc!Q85</f>
        <v>0</v>
      </c>
    </row>
    <row r="6" customFormat="false" ht="15" hidden="false" customHeight="false" outlineLevel="0" collapsed="false">
      <c r="A6" s="0" t="n">
        <v>2027</v>
      </c>
      <c r="B6" s="7" t="n">
        <f aca="false">Calc!R8+Calc!R13+Calc!R18+Calc!R23+Calc!R28+Calc!R33</f>
        <v>19277.175371192</v>
      </c>
      <c r="C6" s="7" t="n">
        <f aca="false">Calc!R39</f>
        <v>7569.56529333333</v>
      </c>
      <c r="D6" s="7" t="n">
        <f aca="false">Calc!R43+Calc!R46+Calc!R49+Calc!R52+Calc!R55+Calc!R58</f>
        <v>4674.0341549723</v>
      </c>
      <c r="E6" s="7" t="n">
        <f aca="false">Calc!R60</f>
        <v>178.159684608</v>
      </c>
      <c r="F6" s="7" t="n">
        <f aca="false">Calc!R61+Calc!R62+Calc!R63</f>
        <v>1892.313513</v>
      </c>
      <c r="G6" s="7" t="n">
        <f aca="false">Calc!R67</f>
        <v>33591.2480171056</v>
      </c>
      <c r="H6" s="7" t="n">
        <f aca="false">Calc!R65</f>
        <v>26846.7406645253</v>
      </c>
      <c r="I6" s="7" t="n">
        <f aca="false">Calc!R66</f>
        <v>6744.5073525803</v>
      </c>
      <c r="J6" s="7" t="n">
        <f aca="false">Calc!R73</f>
        <v>840.788880624</v>
      </c>
      <c r="K6" s="7" t="n">
        <f aca="false">Calc!R74</f>
        <v>0</v>
      </c>
      <c r="L6" s="7" t="n">
        <f aca="false">Calc!R75</f>
        <v>0</v>
      </c>
      <c r="M6" s="7" t="n">
        <f aca="false">Calc!R76</f>
        <v>58992</v>
      </c>
      <c r="N6" s="7" t="n">
        <f aca="false">Calc!R80</f>
        <v>59832.788880624</v>
      </c>
      <c r="O6" s="7" t="n">
        <f aca="false">Calc!R81</f>
        <v>0</v>
      </c>
      <c r="P6" s="8" t="n">
        <f aca="false">Calc!R82</f>
        <v>1</v>
      </c>
      <c r="Q6" s="8" t="n">
        <f aca="false">Calc!R83</f>
        <v>0.974970001704139</v>
      </c>
      <c r="R6" s="9" t="n">
        <f aca="false">Calc!R84</f>
        <v>0.0266741184326445</v>
      </c>
      <c r="S6" s="8" t="n">
        <f aca="false">Calc!R85</f>
        <v>0.05</v>
      </c>
    </row>
    <row r="7" customFormat="false" ht="15" hidden="false" customHeight="false" outlineLevel="0" collapsed="false">
      <c r="A7" s="0" t="n">
        <v>2028</v>
      </c>
      <c r="B7" s="7" t="n">
        <f aca="false">Calc!S8+Calc!S13+Calc!S18+Calc!S23+Calc!S28+Calc!S33</f>
        <v>25485.1404577559</v>
      </c>
      <c r="C7" s="7" t="n">
        <f aca="false">Calc!S39</f>
        <v>10631.568008</v>
      </c>
      <c r="D7" s="7" t="n">
        <f aca="false">Calc!S43+Calc!S46+Calc!S49+Calc!S52+Calc!S55+Calc!S58</f>
        <v>4897.83743905097</v>
      </c>
      <c r="E7" s="7" t="n">
        <f aca="false">Calc!S60</f>
        <v>192.239526912</v>
      </c>
      <c r="F7" s="7" t="n">
        <f aca="false">Calc!S61+Calc!S62+Calc!S63</f>
        <v>1986.4702695</v>
      </c>
      <c r="G7" s="7" t="n">
        <f aca="false">Calc!S67</f>
        <v>43193.2557012189</v>
      </c>
      <c r="H7" s="7" t="n">
        <f aca="false">Calc!S65</f>
        <v>36116.7084657559</v>
      </c>
      <c r="I7" s="7" t="n">
        <f aca="false">Calc!S66</f>
        <v>7076.54723546297</v>
      </c>
      <c r="J7" s="7" t="n">
        <f aca="false">Calc!S73</f>
        <v>1391.58948899618</v>
      </c>
      <c r="K7" s="7" t="n">
        <f aca="false">Calc!S74</f>
        <v>0</v>
      </c>
      <c r="L7" s="7" t="n">
        <f aca="false">Calc!S75</f>
        <v>0</v>
      </c>
      <c r="M7" s="7" t="n">
        <f aca="false">Calc!S76</f>
        <v>65328</v>
      </c>
      <c r="N7" s="7" t="n">
        <f aca="false">Calc!S80</f>
        <v>66719.5894889962</v>
      </c>
      <c r="O7" s="7" t="n">
        <f aca="false">Calc!S81</f>
        <v>0</v>
      </c>
      <c r="P7" s="8" t="n">
        <f aca="false">Calc!S82</f>
        <v>1</v>
      </c>
      <c r="Q7" s="8" t="n">
        <f aca="false">Calc!S83</f>
        <v>0.967782250575825</v>
      </c>
      <c r="R7" s="9" t="n">
        <f aca="false">Calc!S84</f>
        <v>0.0339291697200793</v>
      </c>
      <c r="S7" s="8" t="n">
        <f aca="false">Calc!S85</f>
        <v>0.1</v>
      </c>
    </row>
    <row r="8" customFormat="false" ht="15" hidden="false" customHeight="false" outlineLevel="0" collapsed="false">
      <c r="A8" s="0" t="n">
        <v>2029</v>
      </c>
      <c r="B8" s="7" t="n">
        <f aca="false">Calc!T8+Calc!T13+Calc!T18+Calc!T23+Calc!T28+Calc!T33</f>
        <v>32361.6933152991</v>
      </c>
      <c r="C8" s="7" t="n">
        <f aca="false">Calc!T39</f>
        <v>13655.5914346667</v>
      </c>
      <c r="D8" s="7" t="n">
        <f aca="false">Calc!T43+Calc!T46+Calc!T49+Calc!T52+Calc!T55+Calc!T58</f>
        <v>5126.12971085799</v>
      </c>
      <c r="E8" s="7" t="n">
        <f aca="false">Calc!T60</f>
        <v>206.319369216</v>
      </c>
      <c r="F8" s="7" t="n">
        <f aca="false">Calc!T61+Calc!T62+Calc!T63</f>
        <v>2080.627026</v>
      </c>
      <c r="G8" s="7" t="n">
        <f aca="false">Calc!T67</f>
        <v>53430.3608560397</v>
      </c>
      <c r="H8" s="7" t="n">
        <f aca="false">Calc!T65</f>
        <v>46017.2847499657</v>
      </c>
      <c r="I8" s="7" t="n">
        <f aca="false">Calc!T66</f>
        <v>7413.07610607399</v>
      </c>
      <c r="J8" s="7" t="n">
        <f aca="false">Calc!T73</f>
        <v>2025.10087936068</v>
      </c>
      <c r="K8" s="7" t="n">
        <f aca="false">Calc!T74</f>
        <v>0</v>
      </c>
      <c r="L8" s="7" t="n">
        <f aca="false">Calc!T75</f>
        <v>0</v>
      </c>
      <c r="M8" s="7" t="n">
        <f aca="false">Calc!T76</f>
        <v>71664</v>
      </c>
      <c r="N8" s="7" t="n">
        <f aca="false">Calc!T80</f>
        <v>73689.1008793607</v>
      </c>
      <c r="O8" s="7" t="n">
        <f aca="false">Calc!T81</f>
        <v>0</v>
      </c>
      <c r="P8" s="8" t="n">
        <f aca="false">Calc!T82</f>
        <v>1</v>
      </c>
      <c r="Q8" s="8" t="n">
        <f aca="false">Calc!T83</f>
        <v>0.962098311766656</v>
      </c>
      <c r="R8" s="9" t="n">
        <f aca="false">Calc!T84</f>
        <v>0.0395965130742674</v>
      </c>
      <c r="S8" s="8" t="n">
        <f aca="false">Calc!T85</f>
        <v>0.15</v>
      </c>
    </row>
    <row r="9" customFormat="false" ht="15" hidden="false" customHeight="false" outlineLevel="0" collapsed="false">
      <c r="A9" s="0" t="n">
        <v>2030</v>
      </c>
      <c r="B9" s="7" t="n">
        <f aca="false">Calc!U8+Calc!U13+Calc!U18+Calc!U23+Calc!U28+Calc!U33</f>
        <v>39929.0968589827</v>
      </c>
      <c r="C9" s="7" t="n">
        <f aca="false">Calc!U39</f>
        <v>16641.6355733333</v>
      </c>
      <c r="D9" s="7" t="n">
        <f aca="false">Calc!U43+Calc!U46+Calc!U49+Calc!U52+Calc!U55+Calc!U58</f>
        <v>5358.91097039335</v>
      </c>
      <c r="E9" s="7" t="n">
        <f aca="false">Calc!U60</f>
        <v>220.39921152</v>
      </c>
      <c r="F9" s="7" t="n">
        <f aca="false">Calc!U61+Calc!U62+Calc!U63</f>
        <v>2174.7837825</v>
      </c>
      <c r="G9" s="7" t="n">
        <f aca="false">Calc!U67</f>
        <v>64324.8263967293</v>
      </c>
      <c r="H9" s="7" t="n">
        <f aca="false">Calc!U65</f>
        <v>56570.732432316</v>
      </c>
      <c r="I9" s="7" t="n">
        <f aca="false">Calc!U66</f>
        <v>7754.09396441335</v>
      </c>
      <c r="J9" s="7" t="n">
        <f aca="false">Calc!U73</f>
        <v>2987.40182570235</v>
      </c>
      <c r="K9" s="7" t="n">
        <f aca="false">Calc!U74</f>
        <v>0</v>
      </c>
      <c r="L9" s="7" t="n">
        <f aca="false">Calc!U75</f>
        <v>0</v>
      </c>
      <c r="M9" s="7" t="n">
        <f aca="false">Calc!U76</f>
        <v>78000</v>
      </c>
      <c r="N9" s="7" t="n">
        <f aca="false">Calc!U80</f>
        <v>80987.4018257023</v>
      </c>
      <c r="O9" s="7" t="n">
        <f aca="false">Calc!U81</f>
        <v>0</v>
      </c>
      <c r="P9" s="8" t="n">
        <f aca="false">Calc!U82</f>
        <v>1</v>
      </c>
      <c r="Q9" s="8" t="n">
        <f aca="false">Calc!U83</f>
        <v>0.953557561006426</v>
      </c>
      <c r="R9" s="9" t="n">
        <f aca="false">Calc!U84</f>
        <v>0.0482386408440332</v>
      </c>
      <c r="S9" s="8" t="n">
        <f aca="false">Calc!U85</f>
        <v>0.2</v>
      </c>
    </row>
    <row r="10" customFormat="false" ht="15" hidden="false" customHeight="false" outlineLevel="0" collapsed="false">
      <c r="A10" s="0" t="n">
        <v>2031</v>
      </c>
      <c r="B10" s="7" t="n">
        <f aca="false">Calc!V8+Calc!V13+Calc!V18+Calc!V23+Calc!V28+Calc!V33</f>
        <v>50908.6658998513</v>
      </c>
      <c r="C10" s="7" t="n">
        <f aca="false">Calc!V39</f>
        <v>17187.3454933333</v>
      </c>
      <c r="D10" s="7" t="n">
        <f aca="false">Calc!V43+Calc!V46+Calc!V49+Calc!V52+Calc!V55+Calc!V58</f>
        <v>5653.59390206777</v>
      </c>
      <c r="E10" s="7" t="n">
        <f aca="false">Calc!V60</f>
        <v>241.087119134184</v>
      </c>
      <c r="F10" s="7" t="n">
        <f aca="false">Calc!V61+Calc!V62+Calc!V63</f>
        <v>2294.95431480575</v>
      </c>
      <c r="G10" s="7" t="n">
        <f aca="false">Calc!V67</f>
        <v>76285.6467291923</v>
      </c>
      <c r="H10" s="7" t="n">
        <f aca="false">Calc!V65</f>
        <v>68096.0113931846</v>
      </c>
      <c r="I10" s="7" t="n">
        <f aca="false">Calc!V66</f>
        <v>8189.6353360077</v>
      </c>
      <c r="J10" s="7" t="n">
        <f aca="false">Calc!V73</f>
        <v>4378.51260655875</v>
      </c>
      <c r="K10" s="7" t="n">
        <f aca="false">Calc!V74</f>
        <v>0</v>
      </c>
      <c r="L10" s="7" t="n">
        <f aca="false">Calc!V75</f>
        <v>0</v>
      </c>
      <c r="M10" s="7" t="n">
        <f aca="false">Calc!V76</f>
        <v>82800</v>
      </c>
      <c r="N10" s="7" t="n">
        <f aca="false">Calc!V80</f>
        <v>87178.5126065588</v>
      </c>
      <c r="O10" s="7" t="n">
        <f aca="false">Calc!V81</f>
        <v>0</v>
      </c>
      <c r="P10" s="8" t="n">
        <f aca="false">Calc!V82</f>
        <v>1</v>
      </c>
      <c r="Q10" s="8" t="n">
        <f aca="false">Calc!V83</f>
        <v>0.942603716501191</v>
      </c>
      <c r="R10" s="9" t="n">
        <f aca="false">Calc!V84</f>
        <v>0.0593699802057194</v>
      </c>
      <c r="S10" s="8" t="n">
        <f aca="false">Calc!V85</f>
        <v>0.2</v>
      </c>
    </row>
    <row r="11" customFormat="false" ht="15" hidden="false" customHeight="false" outlineLevel="0" collapsed="false">
      <c r="A11" s="0" t="n">
        <v>2032</v>
      </c>
      <c r="B11" s="7" t="n">
        <f aca="false">Calc!W8+Calc!W13+Calc!W18+Calc!W23+Calc!W28+Calc!W33</f>
        <v>63073.1366025147</v>
      </c>
      <c r="C11" s="7" t="n">
        <f aca="false">Calc!W39</f>
        <v>17718.1122222222</v>
      </c>
      <c r="D11" s="7" t="n">
        <f aca="false">Calc!W43+Calc!W46+Calc!W49+Calc!W52+Calc!W55+Calc!W58</f>
        <v>5955.20241158348</v>
      </c>
      <c r="E11" s="7" t="n">
        <f aca="false">Calc!W60</f>
        <v>261.775026748367</v>
      </c>
      <c r="F11" s="7" t="n">
        <f aca="false">Calc!W61+Calc!W62+Calc!W63</f>
        <v>2415.1248471115</v>
      </c>
      <c r="G11" s="7" t="n">
        <f aca="false">Calc!W67</f>
        <v>89423.3511101803</v>
      </c>
      <c r="H11" s="7" t="n">
        <f aca="false">Calc!W65</f>
        <v>80791.248824737</v>
      </c>
      <c r="I11" s="7" t="n">
        <f aca="false">Calc!W66</f>
        <v>8632.10228544335</v>
      </c>
      <c r="J11" s="7" t="n">
        <f aca="false">Calc!W73</f>
        <v>6498.4752125859</v>
      </c>
      <c r="K11" s="7" t="n">
        <f aca="false">Calc!W74</f>
        <v>0</v>
      </c>
      <c r="L11" s="7" t="n">
        <f aca="false">Calc!W75</f>
        <v>2400</v>
      </c>
      <c r="M11" s="7" t="n">
        <f aca="false">Calc!W76</f>
        <v>87600</v>
      </c>
      <c r="N11" s="7" t="n">
        <f aca="false">Calc!W80</f>
        <v>96498.4752125859</v>
      </c>
      <c r="O11" s="7" t="n">
        <f aca="false">Calc!W81</f>
        <v>0</v>
      </c>
      <c r="P11" s="8" t="n">
        <f aca="false">Calc!W82</f>
        <v>1</v>
      </c>
      <c r="Q11" s="8" t="n">
        <f aca="false">Calc!W83</f>
        <v>0.92732910216506</v>
      </c>
      <c r="R11" s="9" t="n">
        <f aca="false">Calc!W84</f>
        <v>0.0749134416448037</v>
      </c>
      <c r="S11" s="8" t="n">
        <f aca="false">Calc!W85</f>
        <v>0.2</v>
      </c>
    </row>
    <row r="12" customFormat="false" ht="15" hidden="false" customHeight="false" outlineLevel="0" collapsed="false">
      <c r="A12" s="0" t="n">
        <v>2033</v>
      </c>
      <c r="B12" s="7" t="n">
        <f aca="false">Calc!X8+Calc!X13+Calc!X18+Calc!X23+Calc!X28+Calc!X33</f>
        <v>76464.3639781214</v>
      </c>
      <c r="C12" s="7" t="n">
        <f aca="false">Calc!X39</f>
        <v>18248.3234</v>
      </c>
      <c r="D12" s="7" t="n">
        <f aca="false">Calc!X43+Calc!X46+Calc!X49+Calc!X52+Calc!X55+Calc!X58</f>
        <v>6263.73649894049</v>
      </c>
      <c r="E12" s="7" t="n">
        <f aca="false">Calc!X60</f>
        <v>282.462934362551</v>
      </c>
      <c r="F12" s="7" t="n">
        <f aca="false">Calc!X61+Calc!X62+Calc!X63</f>
        <v>2535.29537941726</v>
      </c>
      <c r="G12" s="7" t="n">
        <f aca="false">Calc!X67</f>
        <v>103794.182190842</v>
      </c>
      <c r="H12" s="7" t="n">
        <f aca="false">Calc!X65</f>
        <v>94712.6873781214</v>
      </c>
      <c r="I12" s="7" t="n">
        <f aca="false">Calc!X66</f>
        <v>9081.4948127203</v>
      </c>
      <c r="J12" s="7" t="n">
        <f aca="false">Calc!X73</f>
        <v>9387.98114838373</v>
      </c>
      <c r="K12" s="7" t="n">
        <f aca="false">Calc!X74</f>
        <v>0</v>
      </c>
      <c r="L12" s="7" t="n">
        <f aca="false">Calc!X75</f>
        <v>3600</v>
      </c>
      <c r="M12" s="7" t="n">
        <f aca="false">Calc!X76</f>
        <v>92400</v>
      </c>
      <c r="N12" s="7" t="n">
        <f aca="false">Calc!X80</f>
        <v>105387.981148384</v>
      </c>
      <c r="O12" s="7" t="n">
        <f aca="false">Calc!X81</f>
        <v>0</v>
      </c>
      <c r="P12" s="8" t="n">
        <f aca="false">Calc!X82</f>
        <v>1</v>
      </c>
      <c r="Q12" s="8" t="n">
        <f aca="false">Calc!X83</f>
        <v>0.909551952236374</v>
      </c>
      <c r="R12" s="9" t="n">
        <f aca="false">Calc!X84</f>
        <v>0.0929720105736121</v>
      </c>
      <c r="S12" s="8" t="n">
        <f aca="false">Calc!X85</f>
        <v>0.2</v>
      </c>
    </row>
    <row r="13" customFormat="false" ht="15" hidden="false" customHeight="false" outlineLevel="0" collapsed="false">
      <c r="A13" s="0" t="n">
        <v>2034</v>
      </c>
      <c r="B13" s="7" t="n">
        <f aca="false">Calc!Y8+Calc!Y13+Calc!Y18+Calc!Y23+Calc!Y28+Calc!Y33</f>
        <v>91123.5255242571</v>
      </c>
      <c r="C13" s="7" t="n">
        <f aca="false">Calc!Y39</f>
        <v>18772.7749866667</v>
      </c>
      <c r="D13" s="7" t="n">
        <f aca="false">Calc!Y43+Calc!Y46+Calc!Y49+Calc!Y52+Calc!Y55+Calc!Y58</f>
        <v>6579.19616413881</v>
      </c>
      <c r="E13" s="7" t="n">
        <f aca="false">Calc!Y60</f>
        <v>303.150841976735</v>
      </c>
      <c r="F13" s="7" t="n">
        <f aca="false">Calc!Y61+Calc!Y62+Calc!Y63</f>
        <v>2655.46591172301</v>
      </c>
      <c r="G13" s="7" t="n">
        <f aca="false">Calc!Y67</f>
        <v>119434.113428762</v>
      </c>
      <c r="H13" s="7" t="n">
        <f aca="false">Calc!Y65</f>
        <v>109896.300510924</v>
      </c>
      <c r="I13" s="7" t="n">
        <f aca="false">Calc!Y66</f>
        <v>9537.81291783855</v>
      </c>
      <c r="J13" s="7" t="n">
        <f aca="false">Calc!Y73</f>
        <v>12707.6219910119</v>
      </c>
      <c r="K13" s="7" t="n">
        <f aca="false">Calc!Y74</f>
        <v>0</v>
      </c>
      <c r="L13" s="7" t="n">
        <f aca="false">Calc!Y75</f>
        <v>4800</v>
      </c>
      <c r="M13" s="7" t="n">
        <f aca="false">Calc!Y76</f>
        <v>97200</v>
      </c>
      <c r="N13" s="7" t="n">
        <f aca="false">Calc!Y80</f>
        <v>114707.621991012</v>
      </c>
      <c r="O13" s="7" t="n">
        <f aca="false">Calc!Y81</f>
        <v>4726.49143775045</v>
      </c>
      <c r="P13" s="8" t="n">
        <f aca="false">Calc!Y82</f>
        <v>0.956991350793645</v>
      </c>
      <c r="Q13" s="8" t="n">
        <f aca="false">Calc!Y83</f>
        <v>0.89360140393564</v>
      </c>
      <c r="R13" s="9" t="n">
        <f aca="false">Calc!Y84</f>
        <v>0.109101247504983</v>
      </c>
      <c r="S13" s="8" t="n">
        <f aca="false">Calc!Y85</f>
        <v>0.2</v>
      </c>
    </row>
    <row r="14" customFormat="false" ht="15" hidden="false" customHeight="false" outlineLevel="0" collapsed="false">
      <c r="A14" s="0" t="n">
        <v>2035</v>
      </c>
      <c r="B14" s="7" t="n">
        <f aca="false">Calc!Z8+Calc!Z13+Calc!Z18+Calc!Z23+Calc!Z28+Calc!Z33</f>
        <v>107091.124076429</v>
      </c>
      <c r="C14" s="7" t="n">
        <f aca="false">Calc!Z39</f>
        <v>19352.1807822222</v>
      </c>
      <c r="D14" s="7" t="n">
        <f aca="false">Calc!Z43+Calc!Z46+Calc!Z49+Calc!Z52+Calc!Z55+Calc!Z58</f>
        <v>6901.58140717841</v>
      </c>
      <c r="E14" s="7" t="n">
        <f aca="false">Calc!Z60</f>
        <v>323.838749590918</v>
      </c>
      <c r="F14" s="7" t="n">
        <f aca="false">Calc!Z61+Calc!Z62+Calc!Z63</f>
        <v>2775.63644402876</v>
      </c>
      <c r="G14" s="7" t="n">
        <f aca="false">Calc!Z67</f>
        <v>136444.36145945</v>
      </c>
      <c r="H14" s="7" t="n">
        <f aca="false">Calc!Z65</f>
        <v>126443.304858652</v>
      </c>
      <c r="I14" s="7" t="n">
        <f aca="false">Calc!Z66</f>
        <v>10001.0566007981</v>
      </c>
      <c r="J14" s="7" t="n">
        <f aca="false">Calc!Z73</f>
        <v>18169.0721346124</v>
      </c>
      <c r="K14" s="7" t="n">
        <f aca="false">Calc!Z74</f>
        <v>0</v>
      </c>
      <c r="L14" s="7" t="n">
        <f aca="false">Calc!Z75</f>
        <v>6000</v>
      </c>
      <c r="M14" s="7" t="n">
        <f aca="false">Calc!Z76</f>
        <v>102000</v>
      </c>
      <c r="N14" s="7" t="n">
        <f aca="false">Calc!Z80</f>
        <v>126169.072134612</v>
      </c>
      <c r="O14" s="7" t="n">
        <f aca="false">Calc!Z81</f>
        <v>10275.2893248374</v>
      </c>
      <c r="P14" s="8" t="n">
        <f aca="false">Calc!Z82</f>
        <v>0.91873599526425</v>
      </c>
      <c r="Q14" s="8" t="n">
        <f aca="false">Calc!Z83</f>
        <v>0.866838966885326</v>
      </c>
      <c r="R14" s="9" t="n">
        <f aca="false">Calc!Z84</f>
        <v>0.13625623481647</v>
      </c>
      <c r="S14" s="8" t="n">
        <f aca="false">Calc!Z85</f>
        <v>0.2</v>
      </c>
    </row>
    <row r="15" customFormat="false" ht="15" hidden="false" customHeight="false" outlineLevel="0" collapsed="false">
      <c r="A15" s="0" t="n">
        <v>2036</v>
      </c>
      <c r="B15" s="7" t="n">
        <f aca="false">Calc!AA8+Calc!AA13+Calc!AA18+Calc!AA23+Calc!AA28+Calc!AA33</f>
        <v>126773.833441659</v>
      </c>
      <c r="C15" s="7" t="n">
        <f aca="false">Calc!AA39</f>
        <v>19272.4807395556</v>
      </c>
      <c r="D15" s="7" t="n">
        <f aca="false">Calc!AA43+Calc!AA46+Calc!AA49+Calc!AA52+Calc!AA55+Calc!AA58</f>
        <v>7243.65750407487</v>
      </c>
      <c r="E15" s="7" t="n">
        <f aca="false">Calc!AA60</f>
        <v>354.236073098683</v>
      </c>
      <c r="F15" s="7" t="n">
        <f aca="false">Calc!AA61+Calc!AA62+Calc!AA63</f>
        <v>2929.0078787664</v>
      </c>
      <c r="G15" s="7" t="n">
        <f aca="false">Calc!AA67</f>
        <v>156573.215637155</v>
      </c>
      <c r="H15" s="7" t="n">
        <f aca="false">Calc!AA65</f>
        <v>146046.314181215</v>
      </c>
      <c r="I15" s="7" t="n">
        <f aca="false">Calc!AA66</f>
        <v>10526.90145594</v>
      </c>
      <c r="J15" s="7" t="n">
        <f aca="false">Calc!AA73</f>
        <v>23591.3521130805</v>
      </c>
      <c r="K15" s="7" t="n">
        <f aca="false">Calc!AA74</f>
        <v>0</v>
      </c>
      <c r="L15" s="7" t="n">
        <f aca="false">Calc!AA75</f>
        <v>7200</v>
      </c>
      <c r="M15" s="7" t="n">
        <f aca="false">Calc!AA76</f>
        <v>107400</v>
      </c>
      <c r="N15" s="7" t="n">
        <f aca="false">Calc!AA80</f>
        <v>138191.35211308</v>
      </c>
      <c r="O15" s="7" t="n">
        <f aca="false">Calc!AA81</f>
        <v>18381.8635240745</v>
      </c>
      <c r="P15" s="8" t="n">
        <f aca="false">Calc!AA82</f>
        <v>0.874136751570011</v>
      </c>
      <c r="Q15" s="8" t="n">
        <f aca="false">Calc!AA83</f>
        <v>0.849327025589413</v>
      </c>
      <c r="R15" s="9" t="n">
        <f aca="false">Calc!AA84</f>
        <v>0.153900166160343</v>
      </c>
      <c r="S15" s="8" t="n">
        <f aca="false">Calc!AA85</f>
        <v>0.2</v>
      </c>
    </row>
    <row r="16" customFormat="false" ht="15" hidden="false" customHeight="false" outlineLevel="0" collapsed="false">
      <c r="A16" s="0" t="n">
        <v>2037</v>
      </c>
      <c r="B16" s="7" t="n">
        <f aca="false">Calc!AB8+Calc!AB13+Calc!AB18+Calc!AB23+Calc!AB28+Calc!AB33</f>
        <v>148410.496989865</v>
      </c>
      <c r="C16" s="7" t="n">
        <f aca="false">Calc!AB39</f>
        <v>19795.4259134815</v>
      </c>
      <c r="D16" s="7" t="n">
        <f aca="false">Calc!AB43+Calc!AB46+Calc!AB49+Calc!AB52+Calc!AB55+Calc!AB58</f>
        <v>7589.94244600671</v>
      </c>
      <c r="E16" s="7" t="n">
        <f aca="false">Calc!AB60</f>
        <v>384.633396606447</v>
      </c>
      <c r="F16" s="7" t="n">
        <f aca="false">Calc!AB61+Calc!AB62+Calc!AB63</f>
        <v>3082.37931350405</v>
      </c>
      <c r="G16" s="7" t="n">
        <f aca="false">Calc!AB67</f>
        <v>179262.878059464</v>
      </c>
      <c r="H16" s="7" t="n">
        <f aca="false">Calc!AB65</f>
        <v>168205.922903347</v>
      </c>
      <c r="I16" s="7" t="n">
        <f aca="false">Calc!AB66</f>
        <v>11056.9551561172</v>
      </c>
      <c r="J16" s="7" t="n">
        <f aca="false">Calc!AB73</f>
        <v>30247.888607543</v>
      </c>
      <c r="K16" s="7" t="n">
        <f aca="false">Calc!AB74</f>
        <v>0</v>
      </c>
      <c r="L16" s="7" t="n">
        <f aca="false">Calc!AB75</f>
        <v>8400</v>
      </c>
      <c r="M16" s="7" t="n">
        <f aca="false">Calc!AB76</f>
        <v>112800</v>
      </c>
      <c r="N16" s="7" t="n">
        <f aca="false">Calc!AB80</f>
        <v>151447.888607543</v>
      </c>
      <c r="O16" s="7" t="n">
        <f aca="false">Calc!AB81</f>
        <v>27814.9894519208</v>
      </c>
      <c r="P16" s="8" t="n">
        <f aca="false">Calc!AB82</f>
        <v>0.8346372769055</v>
      </c>
      <c r="Q16" s="8" t="n">
        <f aca="false">Calc!AB83</f>
        <v>0.831265184766757</v>
      </c>
      <c r="R16" s="9" t="n">
        <f aca="false">Calc!AB84</f>
        <v>0.172062571252358</v>
      </c>
      <c r="S16" s="8" t="n">
        <f aca="false">Calc!AB85</f>
        <v>0.2</v>
      </c>
    </row>
    <row r="17" customFormat="false" ht="15" hidden="false" customHeight="false" outlineLevel="0" collapsed="false">
      <c r="A17" s="0" t="n">
        <v>2038</v>
      </c>
      <c r="B17" s="7" t="n">
        <f aca="false">Calc!AC8+Calc!AC13+Calc!AC18+Calc!AC23+Calc!AC28+Calc!AC33</f>
        <v>172077.034819875</v>
      </c>
      <c r="C17" s="7" t="n">
        <f aca="false">Calc!AC39</f>
        <v>22314.4881493333</v>
      </c>
      <c r="D17" s="7" t="n">
        <f aca="false">Calc!AC43+Calc!AC46+Calc!AC49+Calc!AC52+Calc!AC55+Calc!AC58</f>
        <v>7940.43623297393</v>
      </c>
      <c r="E17" s="7" t="n">
        <f aca="false">Calc!AC60</f>
        <v>415.030720114212</v>
      </c>
      <c r="F17" s="7" t="n">
        <f aca="false">Calc!AC61+Calc!AC62+Calc!AC63</f>
        <v>3235.75074824169</v>
      </c>
      <c r="G17" s="7" t="n">
        <f aca="false">Calc!AC67</f>
        <v>205982.740670538</v>
      </c>
      <c r="H17" s="7" t="n">
        <f aca="false">Calc!AC65</f>
        <v>194391.522969208</v>
      </c>
      <c r="I17" s="7" t="n">
        <f aca="false">Calc!AC66</f>
        <v>11591.2177013298</v>
      </c>
      <c r="J17" s="7" t="n">
        <f aca="false">Calc!AC73</f>
        <v>39384.2907449076</v>
      </c>
      <c r="K17" s="7" t="n">
        <f aca="false">Calc!AC74</f>
        <v>0</v>
      </c>
      <c r="L17" s="7" t="n">
        <f aca="false">Calc!AC75</f>
        <v>9600</v>
      </c>
      <c r="M17" s="7" t="n">
        <f aca="false">Calc!AC76</f>
        <v>118200</v>
      </c>
      <c r="N17" s="7" t="n">
        <f aca="false">Calc!AC80</f>
        <v>167184.290744908</v>
      </c>
      <c r="O17" s="7" t="n">
        <f aca="false">Calc!AC81</f>
        <v>38798.4499256304</v>
      </c>
      <c r="P17" s="8" t="n">
        <f aca="false">Calc!AC82</f>
        <v>0.800410792955328</v>
      </c>
      <c r="Q17" s="8" t="n">
        <f aca="false">Calc!AC83</f>
        <v>0.808798103099806</v>
      </c>
      <c r="R17" s="9" t="n">
        <f aca="false">Calc!AC84</f>
        <v>0.194651852827425</v>
      </c>
      <c r="S17" s="8" t="n">
        <f aca="false">Calc!AC85</f>
        <v>0.2</v>
      </c>
    </row>
    <row r="18" customFormat="false" ht="15" hidden="false" customHeight="false" outlineLevel="0" collapsed="false">
      <c r="A18" s="0" t="n">
        <v>2039</v>
      </c>
      <c r="B18" s="7" t="n">
        <f aca="false">Calc!AD8+Calc!AD13+Calc!AD18+Calc!AD23+Calc!AD28+Calc!AD33</f>
        <v>197848.877006659</v>
      </c>
      <c r="C18" s="7" t="n">
        <f aca="false">Calc!AD39</f>
        <v>24785.4389031111</v>
      </c>
      <c r="D18" s="7" t="n">
        <f aca="false">Calc!AD43+Calc!AD46+Calc!AD49+Calc!AD52+Calc!AD55+Calc!AD58</f>
        <v>8295.13886497653</v>
      </c>
      <c r="E18" s="7" t="n">
        <f aca="false">Calc!AD60</f>
        <v>445.428043621976</v>
      </c>
      <c r="F18" s="7" t="n">
        <f aca="false">Calc!AD61+Calc!AD62+Calc!AD63</f>
        <v>3389.12218297933</v>
      </c>
      <c r="G18" s="7" t="n">
        <f aca="false">Calc!AD67</f>
        <v>234764.005001348</v>
      </c>
      <c r="H18" s="7" t="n">
        <f aca="false">Calc!AD65</f>
        <v>222634.315909771</v>
      </c>
      <c r="I18" s="7" t="n">
        <f aca="false">Calc!AD66</f>
        <v>12129.6890915778</v>
      </c>
      <c r="J18" s="7" t="n">
        <f aca="false">Calc!AD73</f>
        <v>49799.1047777837</v>
      </c>
      <c r="K18" s="7" t="n">
        <f aca="false">Calc!AD74</f>
        <v>480</v>
      </c>
      <c r="L18" s="7" t="n">
        <f aca="false">Calc!AD75</f>
        <v>10800</v>
      </c>
      <c r="M18" s="7" t="n">
        <f aca="false">Calc!AD76</f>
        <v>123600</v>
      </c>
      <c r="N18" s="7" t="n">
        <f aca="false">Calc!AD80</f>
        <v>184679.104777784</v>
      </c>
      <c r="O18" s="7" t="n">
        <f aca="false">Calc!AD81</f>
        <v>50084.9002235646</v>
      </c>
      <c r="P18" s="8" t="n">
        <f aca="false">Calc!AD82</f>
        <v>0.775035128709165</v>
      </c>
      <c r="Q18" s="8" t="n">
        <f aca="false">Calc!AD83</f>
        <v>0.78583128713665</v>
      </c>
      <c r="R18" s="9" t="n">
        <f aca="false">Calc!AD84</f>
        <v>0.215646396542869</v>
      </c>
      <c r="S18" s="8" t="n">
        <f aca="false">Calc!AD85</f>
        <v>0.2</v>
      </c>
    </row>
    <row r="19" customFormat="false" ht="15" hidden="false" customHeight="false" outlineLevel="0" collapsed="false">
      <c r="A19" s="0" t="n">
        <v>2040</v>
      </c>
      <c r="B19" s="7" t="n">
        <f aca="false">Calc!AE8+Calc!AE13+Calc!AE18+Calc!AE23+Calc!AE28+Calc!AE33</f>
        <v>225800.965821663</v>
      </c>
      <c r="C19" s="7" t="n">
        <f aca="false">Calc!AE39</f>
        <v>27208.2781748148</v>
      </c>
      <c r="D19" s="7" t="n">
        <f aca="false">Calc!AE43+Calc!AE46+Calc!AE49+Calc!AE52+Calc!AE55+Calc!AE58</f>
        <v>8654.05034201452</v>
      </c>
      <c r="E19" s="7" t="n">
        <f aca="false">Calc!AE60</f>
        <v>475.825367129741</v>
      </c>
      <c r="F19" s="7" t="n">
        <f aca="false">Calc!AE61+Calc!AE62+Calc!AE63</f>
        <v>3542.49361771697</v>
      </c>
      <c r="G19" s="7" t="n">
        <f aca="false">Calc!AE67</f>
        <v>265681.613323339</v>
      </c>
      <c r="H19" s="7" t="n">
        <f aca="false">Calc!AE65</f>
        <v>253009.243996477</v>
      </c>
      <c r="I19" s="7" t="n">
        <f aca="false">Calc!AE66</f>
        <v>12672.3693268612</v>
      </c>
      <c r="J19" s="7" t="n">
        <f aca="false">Calc!AE73</f>
        <v>61140.2779822995</v>
      </c>
      <c r="K19" s="7" t="n">
        <f aca="false">Calc!AE74</f>
        <v>600</v>
      </c>
      <c r="L19" s="7" t="n">
        <f aca="false">Calc!AE75</f>
        <v>12000</v>
      </c>
      <c r="M19" s="7" t="n">
        <f aca="false">Calc!AE76</f>
        <v>129000</v>
      </c>
      <c r="N19" s="7" t="n">
        <f aca="false">Calc!AE80</f>
        <v>202740.277982299</v>
      </c>
      <c r="O19" s="7" t="n">
        <f aca="false">Calc!AE81</f>
        <v>62941.3353410391</v>
      </c>
      <c r="P19" s="8" t="n">
        <f aca="false">Calc!AE82</f>
        <v>0.751229107890163</v>
      </c>
      <c r="Q19" s="8" t="n">
        <f aca="false">Calc!AE83</f>
        <v>0.76761554098529</v>
      </c>
      <c r="R19" s="9" t="n">
        <f aca="false">Calc!AE84</f>
        <v>0.233660124691419</v>
      </c>
      <c r="S19" s="8" t="n">
        <f aca="false">Calc!AE85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8" min="5" style="0" width="12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90"/>
  </cols>
  <sheetData>
    <row r="1" customFormat="false" ht="15" hidden="false" customHeight="fals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customFormat="false" ht="15" hidden="false" customHeight="false" outlineLevel="0" collapsed="false">
      <c r="A2" s="0" t="str">
        <f aca="false">B2&amp;"|"&amp;C2&amp;"|"&amp;D2</f>
        <v>Market_Units|EV_2W|All</v>
      </c>
      <c r="B2" s="0" t="s">
        <v>45</v>
      </c>
      <c r="C2" s="0" t="s">
        <v>46</v>
      </c>
      <c r="D2" s="0" t="s">
        <v>47</v>
      </c>
      <c r="E2" s="11" t="n">
        <v>20033000</v>
      </c>
      <c r="F2" s="11" t="n">
        <v>24373207.5937792</v>
      </c>
      <c r="G2" s="11" t="n">
        <v>29653733.7597692</v>
      </c>
      <c r="H2" s="11" t="n">
        <v>36078301.2458201</v>
      </c>
      <c r="I2" s="12" t="s">
        <v>48</v>
      </c>
      <c r="J2" s="12" t="s">
        <v>49</v>
      </c>
      <c r="K2" s="12" t="s">
        <v>50</v>
      </c>
    </row>
    <row r="3" customFormat="false" ht="15" hidden="false" customHeight="false" outlineLevel="0" collapsed="false">
      <c r="A3" s="0" t="str">
        <f aca="false">B3&amp;"|"&amp;C3&amp;"|"&amp;D3</f>
        <v>Market_Units|EV_3W_L5|All</v>
      </c>
      <c r="B3" s="0" t="s">
        <v>45</v>
      </c>
      <c r="C3" s="0" t="s">
        <v>51</v>
      </c>
      <c r="D3" s="0" t="s">
        <v>47</v>
      </c>
      <c r="E3" s="11" t="n">
        <v>822000</v>
      </c>
      <c r="F3" s="11" t="n">
        <v>952923.2890746</v>
      </c>
      <c r="G3" s="11" t="n">
        <v>1104699.26382087</v>
      </c>
      <c r="H3" s="11" t="n">
        <v>1280649.21644583</v>
      </c>
      <c r="I3" s="12" t="s">
        <v>48</v>
      </c>
      <c r="J3" s="12" t="s">
        <v>49</v>
      </c>
      <c r="K3" s="12" t="s">
        <v>52</v>
      </c>
    </row>
    <row r="4" customFormat="false" ht="15" hidden="false" customHeight="false" outlineLevel="0" collapsed="false">
      <c r="A4" s="0" t="str">
        <f aca="false">B4&amp;"|"&amp;C4&amp;"|"&amp;D4</f>
        <v>Market_Units|EV_3W_L3|All</v>
      </c>
      <c r="B4" s="0" t="s">
        <v>45</v>
      </c>
      <c r="C4" s="0" t="s">
        <v>53</v>
      </c>
      <c r="D4" s="0" t="s">
        <v>47</v>
      </c>
      <c r="E4" s="11" t="n">
        <v>616000</v>
      </c>
      <c r="F4" s="11" t="n">
        <v>680113.7747712</v>
      </c>
      <c r="G4" s="11" t="n">
        <v>750900.562716771</v>
      </c>
      <c r="H4" s="11" t="n">
        <v>829054.896407664</v>
      </c>
      <c r="I4" s="12" t="s">
        <v>48</v>
      </c>
      <c r="J4" s="12" t="s">
        <v>49</v>
      </c>
      <c r="K4" s="12" t="s">
        <v>54</v>
      </c>
    </row>
    <row r="5" customFormat="false" ht="15" hidden="false" customHeight="false" outlineLevel="0" collapsed="false">
      <c r="A5" s="0" t="str">
        <f aca="false">B5&amp;"|"&amp;C5&amp;"|"&amp;D5</f>
        <v>Market_Units|EV_4W|All</v>
      </c>
      <c r="B5" s="0" t="s">
        <v>45</v>
      </c>
      <c r="C5" s="0" t="s">
        <v>55</v>
      </c>
      <c r="D5" s="0" t="s">
        <v>47</v>
      </c>
      <c r="E5" s="11" t="n">
        <v>4449000</v>
      </c>
      <c r="F5" s="11" t="n">
        <v>5678176.6715625</v>
      </c>
      <c r="G5" s="11" t="n">
        <v>7246952.19453284</v>
      </c>
      <c r="H5" s="11" t="n">
        <v>9249151.47020118</v>
      </c>
      <c r="I5" s="12" t="s">
        <v>48</v>
      </c>
      <c r="J5" s="12" t="s">
        <v>49</v>
      </c>
      <c r="K5" s="12" t="s">
        <v>56</v>
      </c>
    </row>
    <row r="6" customFormat="false" ht="15" hidden="false" customHeight="false" outlineLevel="0" collapsed="false">
      <c r="A6" s="0" t="str">
        <f aca="false">B6&amp;"|"&amp;C6&amp;"|"&amp;D6</f>
        <v>Market_Units|EV_Bus|All</v>
      </c>
      <c r="B6" s="0" t="s">
        <v>45</v>
      </c>
      <c r="C6" s="0" t="s">
        <v>57</v>
      </c>
      <c r="D6" s="0" t="s">
        <v>47</v>
      </c>
      <c r="E6" s="11" t="n">
        <v>100000</v>
      </c>
      <c r="F6" s="11" t="n">
        <v>121665.29024</v>
      </c>
      <c r="G6" s="11" t="n">
        <v>148024.428491834</v>
      </c>
      <c r="H6" s="11" t="n">
        <v>180094.350550692</v>
      </c>
      <c r="I6" s="12" t="s">
        <v>48</v>
      </c>
      <c r="J6" s="12" t="s">
        <v>49</v>
      </c>
      <c r="K6" s="12" t="s">
        <v>50</v>
      </c>
    </row>
    <row r="7" customFormat="false" ht="15" hidden="false" customHeight="false" outlineLevel="0" collapsed="false">
      <c r="A7" s="0" t="str">
        <f aca="false">B7&amp;"|"&amp;C7&amp;"|"&amp;D7</f>
        <v>Market_Units|EV_Truck|All</v>
      </c>
      <c r="B7" s="0" t="s">
        <v>45</v>
      </c>
      <c r="C7" s="0" t="s">
        <v>58</v>
      </c>
      <c r="D7" s="0" t="s">
        <v>47</v>
      </c>
      <c r="E7" s="11" t="n">
        <v>945000</v>
      </c>
      <c r="F7" s="11" t="n">
        <v>1206086.0765625</v>
      </c>
      <c r="G7" s="11" t="n">
        <v>1539305.42230468</v>
      </c>
      <c r="H7" s="11" t="n">
        <v>1964587.12954374</v>
      </c>
      <c r="I7" s="12" t="s">
        <v>48</v>
      </c>
      <c r="J7" s="12" t="s">
        <v>49</v>
      </c>
      <c r="K7" s="12" t="s">
        <v>56</v>
      </c>
    </row>
    <row r="8" customFormat="false" ht="15" hidden="false" customHeight="false" outlineLevel="0" collapsed="false">
      <c r="A8" s="0" t="str">
        <f aca="false">B8&amp;"|"&amp;C8&amp;"|"&amp;D8</f>
        <v>EV_Share|EV_2W|Low</v>
      </c>
      <c r="B8" s="0" t="s">
        <v>59</v>
      </c>
      <c r="C8" s="0" t="s">
        <v>46</v>
      </c>
      <c r="D8" s="0" t="s">
        <v>60</v>
      </c>
      <c r="E8" s="11" t="n">
        <v>0.078</v>
      </c>
      <c r="F8" s="11" t="n">
        <v>0.15</v>
      </c>
      <c r="G8" s="11" t="n">
        <v>0.25</v>
      </c>
      <c r="H8" s="11" t="n">
        <v>0.4</v>
      </c>
      <c r="I8" s="12" t="s">
        <v>61</v>
      </c>
      <c r="J8" s="12" t="s">
        <v>62</v>
      </c>
      <c r="K8" s="12" t="s">
        <v>63</v>
      </c>
    </row>
    <row r="9" customFormat="false" ht="15" hidden="false" customHeight="false" outlineLevel="0" collapsed="false">
      <c r="A9" s="0" t="str">
        <f aca="false">B9&amp;"|"&amp;C9&amp;"|"&amp;D9</f>
        <v>EV_Share|EV_2W|Base</v>
      </c>
      <c r="B9" s="0" t="s">
        <v>59</v>
      </c>
      <c r="C9" s="0" t="s">
        <v>46</v>
      </c>
      <c r="D9" s="0" t="s">
        <v>2</v>
      </c>
      <c r="E9" s="11" t="n">
        <v>0.078</v>
      </c>
      <c r="F9" s="11" t="n">
        <v>0.3</v>
      </c>
      <c r="G9" s="11" t="n">
        <v>0.55</v>
      </c>
      <c r="H9" s="11" t="n">
        <v>0.75</v>
      </c>
      <c r="I9" s="12" t="s">
        <v>61</v>
      </c>
      <c r="J9" s="12" t="s">
        <v>62</v>
      </c>
      <c r="K9" s="12" t="s">
        <v>63</v>
      </c>
    </row>
    <row r="10" customFormat="false" ht="15" hidden="false" customHeight="false" outlineLevel="0" collapsed="false">
      <c r="A10" s="0" t="str">
        <f aca="false">B10&amp;"|"&amp;C10&amp;"|"&amp;D10</f>
        <v>EV_Share|EV_2W|High</v>
      </c>
      <c r="B10" s="0" t="s">
        <v>59</v>
      </c>
      <c r="C10" s="0" t="s">
        <v>46</v>
      </c>
      <c r="D10" s="0" t="s">
        <v>64</v>
      </c>
      <c r="E10" s="11" t="n">
        <v>0.078</v>
      </c>
      <c r="F10" s="11" t="n">
        <v>0.55</v>
      </c>
      <c r="G10" s="11" t="n">
        <v>0.8</v>
      </c>
      <c r="H10" s="11" t="n">
        <v>0.95</v>
      </c>
      <c r="I10" s="12" t="s">
        <v>61</v>
      </c>
      <c r="J10" s="12" t="s">
        <v>62</v>
      </c>
      <c r="K10" s="12" t="s">
        <v>63</v>
      </c>
    </row>
    <row r="11" customFormat="false" ht="15" hidden="false" customHeight="false" outlineLevel="0" collapsed="false">
      <c r="A11" s="0" t="str">
        <f aca="false">B11&amp;"|"&amp;C11&amp;"|"&amp;D11</f>
        <v>EV_Share|EV_3W_L5|Low</v>
      </c>
      <c r="B11" s="0" t="s">
        <v>59</v>
      </c>
      <c r="C11" s="0" t="s">
        <v>51</v>
      </c>
      <c r="D11" s="0" t="s">
        <v>60</v>
      </c>
      <c r="E11" s="11" t="n">
        <v>0.25</v>
      </c>
      <c r="F11" s="11" t="n">
        <v>0.4</v>
      </c>
      <c r="G11" s="11" t="n">
        <v>0.55</v>
      </c>
      <c r="H11" s="11" t="n">
        <v>0.7</v>
      </c>
      <c r="I11" s="12" t="s">
        <v>61</v>
      </c>
      <c r="J11" s="12" t="s">
        <v>62</v>
      </c>
      <c r="K11" s="12" t="s">
        <v>63</v>
      </c>
    </row>
    <row r="12" customFormat="false" ht="15" hidden="false" customHeight="false" outlineLevel="0" collapsed="false">
      <c r="A12" s="0" t="str">
        <f aca="false">B12&amp;"|"&amp;C12&amp;"|"&amp;D12</f>
        <v>EV_Share|EV_3W_L5|Base</v>
      </c>
      <c r="B12" s="0" t="s">
        <v>59</v>
      </c>
      <c r="C12" s="0" t="s">
        <v>51</v>
      </c>
      <c r="D12" s="0" t="s">
        <v>2</v>
      </c>
      <c r="E12" s="11" t="n">
        <v>0.25</v>
      </c>
      <c r="F12" s="11" t="n">
        <v>0.55</v>
      </c>
      <c r="G12" s="11" t="n">
        <v>0.75</v>
      </c>
      <c r="H12" s="11" t="n">
        <v>0.9</v>
      </c>
      <c r="I12" s="12" t="s">
        <v>61</v>
      </c>
      <c r="J12" s="12" t="s">
        <v>62</v>
      </c>
      <c r="K12" s="12" t="s">
        <v>63</v>
      </c>
    </row>
    <row r="13" customFormat="false" ht="15" hidden="false" customHeight="false" outlineLevel="0" collapsed="false">
      <c r="A13" s="0" t="str">
        <f aca="false">B13&amp;"|"&amp;C13&amp;"|"&amp;D13</f>
        <v>EV_Share|EV_3W_L5|High</v>
      </c>
      <c r="B13" s="0" t="s">
        <v>59</v>
      </c>
      <c r="C13" s="0" t="s">
        <v>51</v>
      </c>
      <c r="D13" s="0" t="s">
        <v>64</v>
      </c>
      <c r="E13" s="11" t="n">
        <v>0.25</v>
      </c>
      <c r="F13" s="11" t="n">
        <v>0.75</v>
      </c>
      <c r="G13" s="11" t="n">
        <v>0.9</v>
      </c>
      <c r="H13" s="11" t="n">
        <v>1</v>
      </c>
      <c r="I13" s="12" t="s">
        <v>61</v>
      </c>
      <c r="J13" s="12" t="s">
        <v>62</v>
      </c>
      <c r="K13" s="12" t="s">
        <v>63</v>
      </c>
    </row>
    <row r="14" customFormat="false" ht="15" hidden="false" customHeight="false" outlineLevel="0" collapsed="false">
      <c r="A14" s="0" t="str">
        <f aca="false">B14&amp;"|"&amp;C14&amp;"|"&amp;D14</f>
        <v>EV_Share|EV_3W_L3|Low</v>
      </c>
      <c r="B14" s="0" t="s">
        <v>59</v>
      </c>
      <c r="C14" s="0" t="s">
        <v>53</v>
      </c>
      <c r="D14" s="0" t="s">
        <v>60</v>
      </c>
      <c r="E14" s="11" t="n">
        <v>1</v>
      </c>
      <c r="F14" s="11" t="n">
        <v>1</v>
      </c>
      <c r="G14" s="11" t="n">
        <v>1</v>
      </c>
      <c r="H14" s="11" t="n">
        <v>1</v>
      </c>
      <c r="I14" s="12" t="s">
        <v>61</v>
      </c>
      <c r="J14" s="12" t="s">
        <v>62</v>
      </c>
      <c r="K14" s="12" t="s">
        <v>63</v>
      </c>
    </row>
    <row r="15" customFormat="false" ht="15" hidden="false" customHeight="false" outlineLevel="0" collapsed="false">
      <c r="A15" s="0" t="str">
        <f aca="false">B15&amp;"|"&amp;C15&amp;"|"&amp;D15</f>
        <v>EV_Share|EV_3W_L3|Base</v>
      </c>
      <c r="B15" s="0" t="s">
        <v>59</v>
      </c>
      <c r="C15" s="0" t="s">
        <v>53</v>
      </c>
      <c r="D15" s="0" t="s">
        <v>2</v>
      </c>
      <c r="E15" s="11" t="n">
        <v>1</v>
      </c>
      <c r="F15" s="11" t="n">
        <v>1</v>
      </c>
      <c r="G15" s="11" t="n">
        <v>1</v>
      </c>
      <c r="H15" s="11" t="n">
        <v>1</v>
      </c>
      <c r="I15" s="12" t="s">
        <v>61</v>
      </c>
      <c r="J15" s="12" t="s">
        <v>62</v>
      </c>
      <c r="K15" s="12" t="s">
        <v>63</v>
      </c>
    </row>
    <row r="16" customFormat="false" ht="15" hidden="false" customHeight="false" outlineLevel="0" collapsed="false">
      <c r="A16" s="0" t="str">
        <f aca="false">B16&amp;"|"&amp;C16&amp;"|"&amp;D16</f>
        <v>EV_Share|EV_3W_L3|High</v>
      </c>
      <c r="B16" s="0" t="s">
        <v>59</v>
      </c>
      <c r="C16" s="0" t="s">
        <v>53</v>
      </c>
      <c r="D16" s="0" t="s">
        <v>64</v>
      </c>
      <c r="E16" s="11" t="n">
        <v>1</v>
      </c>
      <c r="F16" s="11" t="n">
        <v>1</v>
      </c>
      <c r="G16" s="11" t="n">
        <v>1</v>
      </c>
      <c r="H16" s="11" t="n">
        <v>1</v>
      </c>
      <c r="I16" s="12" t="s">
        <v>61</v>
      </c>
      <c r="J16" s="12" t="s">
        <v>62</v>
      </c>
      <c r="K16" s="12" t="s">
        <v>63</v>
      </c>
    </row>
    <row r="17" customFormat="false" ht="15" hidden="false" customHeight="false" outlineLevel="0" collapsed="false">
      <c r="A17" s="0" t="str">
        <f aca="false">B17&amp;"|"&amp;C17&amp;"|"&amp;D17</f>
        <v>EV_Share|EV_4W|Low</v>
      </c>
      <c r="B17" s="0" t="s">
        <v>59</v>
      </c>
      <c r="C17" s="0" t="s">
        <v>55</v>
      </c>
      <c r="D17" s="0" t="s">
        <v>60</v>
      </c>
      <c r="E17" s="11" t="n">
        <v>0.045</v>
      </c>
      <c r="F17" s="11" t="n">
        <v>0.08</v>
      </c>
      <c r="G17" s="11" t="n">
        <v>0.14</v>
      </c>
      <c r="H17" s="11" t="n">
        <v>0.25</v>
      </c>
      <c r="I17" s="12" t="s">
        <v>61</v>
      </c>
      <c r="J17" s="12" t="s">
        <v>62</v>
      </c>
      <c r="K17" s="12" t="s">
        <v>63</v>
      </c>
    </row>
    <row r="18" customFormat="false" ht="15" hidden="false" customHeight="false" outlineLevel="0" collapsed="false">
      <c r="A18" s="0" t="str">
        <f aca="false">B18&amp;"|"&amp;C18&amp;"|"&amp;D18</f>
        <v>EV_Share|EV_4W|Base</v>
      </c>
      <c r="B18" s="0" t="s">
        <v>59</v>
      </c>
      <c r="C18" s="0" t="s">
        <v>55</v>
      </c>
      <c r="D18" s="0" t="s">
        <v>2</v>
      </c>
      <c r="E18" s="11" t="n">
        <v>0.045</v>
      </c>
      <c r="F18" s="11" t="n">
        <v>0.13</v>
      </c>
      <c r="G18" s="11" t="n">
        <v>0.28</v>
      </c>
      <c r="H18" s="11" t="n">
        <v>0.45</v>
      </c>
      <c r="I18" s="12" t="s">
        <v>61</v>
      </c>
      <c r="J18" s="12" t="s">
        <v>62</v>
      </c>
      <c r="K18" s="12" t="s">
        <v>63</v>
      </c>
    </row>
    <row r="19" customFormat="false" ht="15" hidden="false" customHeight="false" outlineLevel="0" collapsed="false">
      <c r="A19" s="0" t="str">
        <f aca="false">B19&amp;"|"&amp;C19&amp;"|"&amp;D19</f>
        <v>EV_Share|EV_4W|High</v>
      </c>
      <c r="B19" s="0" t="s">
        <v>59</v>
      </c>
      <c r="C19" s="0" t="s">
        <v>55</v>
      </c>
      <c r="D19" s="0" t="s">
        <v>64</v>
      </c>
      <c r="E19" s="11" t="n">
        <v>0.045</v>
      </c>
      <c r="F19" s="11" t="n">
        <v>0.3</v>
      </c>
      <c r="G19" s="11" t="n">
        <v>0.55</v>
      </c>
      <c r="H19" s="11" t="n">
        <v>0.8</v>
      </c>
      <c r="I19" s="12" t="s">
        <v>61</v>
      </c>
      <c r="J19" s="12" t="s">
        <v>62</v>
      </c>
      <c r="K19" s="12" t="s">
        <v>63</v>
      </c>
    </row>
    <row r="20" customFormat="false" ht="15" hidden="false" customHeight="false" outlineLevel="0" collapsed="false">
      <c r="A20" s="0" t="str">
        <f aca="false">B20&amp;"|"&amp;C20&amp;"|"&amp;D20</f>
        <v>EV_Share|EV_Bus|Low</v>
      </c>
      <c r="B20" s="0" t="s">
        <v>59</v>
      </c>
      <c r="C20" s="0" t="s">
        <v>57</v>
      </c>
      <c r="D20" s="0" t="s">
        <v>60</v>
      </c>
      <c r="E20" s="11" t="n">
        <v>0.052</v>
      </c>
      <c r="F20" s="11" t="n">
        <v>0.12</v>
      </c>
      <c r="G20" s="11" t="n">
        <v>0.25</v>
      </c>
      <c r="H20" s="11" t="n">
        <v>0.4</v>
      </c>
      <c r="I20" s="12" t="s">
        <v>61</v>
      </c>
      <c r="J20" s="12" t="s">
        <v>62</v>
      </c>
      <c r="K20" s="12" t="s">
        <v>63</v>
      </c>
    </row>
    <row r="21" customFormat="false" ht="15" hidden="false" customHeight="false" outlineLevel="0" collapsed="false">
      <c r="A21" s="0" t="str">
        <f aca="false">B21&amp;"|"&amp;C21&amp;"|"&amp;D21</f>
        <v>EV_Share|EV_Bus|Base</v>
      </c>
      <c r="B21" s="0" t="s">
        <v>59</v>
      </c>
      <c r="C21" s="0" t="s">
        <v>57</v>
      </c>
      <c r="D21" s="0" t="s">
        <v>2</v>
      </c>
      <c r="E21" s="11" t="n">
        <v>0.052</v>
      </c>
      <c r="F21" s="11" t="n">
        <v>0.25</v>
      </c>
      <c r="G21" s="11" t="n">
        <v>0.5</v>
      </c>
      <c r="H21" s="11" t="n">
        <v>0.75</v>
      </c>
      <c r="I21" s="12" t="s">
        <v>61</v>
      </c>
      <c r="J21" s="12" t="s">
        <v>62</v>
      </c>
      <c r="K21" s="12" t="s">
        <v>63</v>
      </c>
    </row>
    <row r="22" customFormat="false" ht="15" hidden="false" customHeight="false" outlineLevel="0" collapsed="false">
      <c r="A22" s="0" t="str">
        <f aca="false">B22&amp;"|"&amp;C22&amp;"|"&amp;D22</f>
        <v>EV_Share|EV_Bus|High</v>
      </c>
      <c r="B22" s="0" t="s">
        <v>59</v>
      </c>
      <c r="C22" s="0" t="s">
        <v>57</v>
      </c>
      <c r="D22" s="0" t="s">
        <v>64</v>
      </c>
      <c r="E22" s="11" t="n">
        <v>0.052</v>
      </c>
      <c r="F22" s="11" t="n">
        <v>0.4</v>
      </c>
      <c r="G22" s="11" t="n">
        <v>0.7</v>
      </c>
      <c r="H22" s="11" t="n">
        <v>0.95</v>
      </c>
      <c r="I22" s="12" t="s">
        <v>61</v>
      </c>
      <c r="J22" s="12" t="s">
        <v>62</v>
      </c>
      <c r="K22" s="12" t="s">
        <v>63</v>
      </c>
    </row>
    <row r="23" customFormat="false" ht="15" hidden="false" customHeight="false" outlineLevel="0" collapsed="false">
      <c r="A23" s="0" t="str">
        <f aca="false">B23&amp;"|"&amp;C23&amp;"|"&amp;D23</f>
        <v>EV_Share|EV_Truck|Low</v>
      </c>
      <c r="B23" s="0" t="s">
        <v>59</v>
      </c>
      <c r="C23" s="0" t="s">
        <v>58</v>
      </c>
      <c r="D23" s="0" t="s">
        <v>60</v>
      </c>
      <c r="E23" s="11" t="n">
        <v>0.011</v>
      </c>
      <c r="F23" s="11" t="n">
        <v>0.03</v>
      </c>
      <c r="G23" s="11" t="n">
        <v>0.07</v>
      </c>
      <c r="H23" s="11" t="n">
        <v>0.15</v>
      </c>
      <c r="I23" s="12" t="s">
        <v>61</v>
      </c>
      <c r="J23" s="12" t="s">
        <v>62</v>
      </c>
      <c r="K23" s="12" t="s">
        <v>63</v>
      </c>
    </row>
    <row r="24" customFormat="false" ht="15" hidden="false" customHeight="false" outlineLevel="0" collapsed="false">
      <c r="A24" s="0" t="str">
        <f aca="false">B24&amp;"|"&amp;C24&amp;"|"&amp;D24</f>
        <v>EV_Share|EV_Truck|Base</v>
      </c>
      <c r="B24" s="0" t="s">
        <v>59</v>
      </c>
      <c r="C24" s="0" t="s">
        <v>58</v>
      </c>
      <c r="D24" s="0" t="s">
        <v>2</v>
      </c>
      <c r="E24" s="11" t="n">
        <v>0.011</v>
      </c>
      <c r="F24" s="11" t="n">
        <v>0.06</v>
      </c>
      <c r="G24" s="11" t="n">
        <v>0.15</v>
      </c>
      <c r="H24" s="11" t="n">
        <v>0.3</v>
      </c>
      <c r="I24" s="12" t="s">
        <v>61</v>
      </c>
      <c r="J24" s="12" t="s">
        <v>62</v>
      </c>
      <c r="K24" s="12" t="s">
        <v>63</v>
      </c>
    </row>
    <row r="25" customFormat="false" ht="15" hidden="false" customHeight="false" outlineLevel="0" collapsed="false">
      <c r="A25" s="0" t="str">
        <f aca="false">B25&amp;"|"&amp;C25&amp;"|"&amp;D25</f>
        <v>EV_Share|EV_Truck|High</v>
      </c>
      <c r="B25" s="0" t="s">
        <v>59</v>
      </c>
      <c r="C25" s="0" t="s">
        <v>58</v>
      </c>
      <c r="D25" s="0" t="s">
        <v>64</v>
      </c>
      <c r="E25" s="11" t="n">
        <v>0.011</v>
      </c>
      <c r="F25" s="11" t="n">
        <v>0.12</v>
      </c>
      <c r="G25" s="11" t="n">
        <v>0.3</v>
      </c>
      <c r="H25" s="11" t="n">
        <v>0.55</v>
      </c>
      <c r="I25" s="12" t="s">
        <v>61</v>
      </c>
      <c r="J25" s="12" t="s">
        <v>62</v>
      </c>
      <c r="K25" s="12" t="s">
        <v>63</v>
      </c>
    </row>
    <row r="26" customFormat="false" ht="15" hidden="false" customHeight="false" outlineLevel="0" collapsed="false">
      <c r="A26" s="0" t="str">
        <f aca="false">B26&amp;"|"&amp;C26&amp;"|"&amp;D26</f>
        <v>LiIon_Share|EV_3W_L3|Low</v>
      </c>
      <c r="B26" s="0" t="s">
        <v>65</v>
      </c>
      <c r="C26" s="0" t="s">
        <v>53</v>
      </c>
      <c r="D26" s="0" t="s">
        <v>60</v>
      </c>
      <c r="E26" s="11" t="n">
        <v>0.25</v>
      </c>
      <c r="F26" s="11" t="n">
        <v>0.4</v>
      </c>
      <c r="G26" s="11" t="n">
        <v>0.55</v>
      </c>
      <c r="H26" s="11" t="n">
        <v>0.7</v>
      </c>
      <c r="I26" s="12" t="s">
        <v>66</v>
      </c>
      <c r="J26" s="12" t="s">
        <v>67</v>
      </c>
      <c r="K26" s="12" t="s">
        <v>68</v>
      </c>
    </row>
    <row r="27" customFormat="false" ht="15" hidden="false" customHeight="false" outlineLevel="0" collapsed="false">
      <c r="A27" s="0" t="str">
        <f aca="false">B27&amp;"|"&amp;C27&amp;"|"&amp;D27</f>
        <v>LiIon_Share|EV_3W_L3|Base</v>
      </c>
      <c r="B27" s="0" t="s">
        <v>65</v>
      </c>
      <c r="C27" s="0" t="s">
        <v>53</v>
      </c>
      <c r="D27" s="0" t="s">
        <v>2</v>
      </c>
      <c r="E27" s="11" t="n">
        <v>0.25</v>
      </c>
      <c r="F27" s="11" t="n">
        <v>0.6</v>
      </c>
      <c r="G27" s="11" t="n">
        <v>0.85</v>
      </c>
      <c r="H27" s="11" t="n">
        <v>1</v>
      </c>
      <c r="I27" s="12" t="s">
        <v>66</v>
      </c>
      <c r="J27" s="12" t="s">
        <v>67</v>
      </c>
      <c r="K27" s="12" t="s">
        <v>68</v>
      </c>
    </row>
    <row r="28" customFormat="false" ht="15" hidden="false" customHeight="false" outlineLevel="0" collapsed="false">
      <c r="A28" s="0" t="str">
        <f aca="false">B28&amp;"|"&amp;C28&amp;"|"&amp;D28</f>
        <v>LiIon_Share|EV_3W_L3|High</v>
      </c>
      <c r="B28" s="0" t="s">
        <v>65</v>
      </c>
      <c r="C28" s="0" t="s">
        <v>53</v>
      </c>
      <c r="D28" s="0" t="s">
        <v>64</v>
      </c>
      <c r="E28" s="11" t="n">
        <v>0.25</v>
      </c>
      <c r="F28" s="11" t="n">
        <v>0.85</v>
      </c>
      <c r="G28" s="11" t="n">
        <v>1</v>
      </c>
      <c r="H28" s="11" t="n">
        <v>1</v>
      </c>
      <c r="I28" s="12" t="s">
        <v>66</v>
      </c>
      <c r="J28" s="12" t="s">
        <v>67</v>
      </c>
      <c r="K28" s="12" t="s">
        <v>68</v>
      </c>
    </row>
    <row r="29" customFormat="false" ht="15" hidden="false" customHeight="false" outlineLevel="0" collapsed="false">
      <c r="A29" s="0" t="str">
        <f aca="false">B29&amp;"|"&amp;C29&amp;"|"&amp;D29</f>
        <v>LiIon_Share|EV_2W|All</v>
      </c>
      <c r="B29" s="0" t="s">
        <v>65</v>
      </c>
      <c r="C29" s="0" t="s">
        <v>46</v>
      </c>
      <c r="D29" s="0" t="s">
        <v>47</v>
      </c>
      <c r="E29" s="11" t="n">
        <v>1</v>
      </c>
      <c r="F29" s="11" t="n">
        <v>1</v>
      </c>
      <c r="G29" s="11" t="n">
        <v>1</v>
      </c>
      <c r="H29" s="11" t="n">
        <v>1</v>
      </c>
      <c r="I29" s="12" t="s">
        <v>69</v>
      </c>
      <c r="J29" s="12" t="s">
        <v>70</v>
      </c>
    </row>
    <row r="30" customFormat="false" ht="15" hidden="false" customHeight="false" outlineLevel="0" collapsed="false">
      <c r="A30" s="0" t="str">
        <f aca="false">B30&amp;"|"&amp;C30&amp;"|"&amp;D30</f>
        <v>LiIon_Share|EV_3W_L5|All</v>
      </c>
      <c r="B30" s="0" t="s">
        <v>65</v>
      </c>
      <c r="C30" s="0" t="s">
        <v>51</v>
      </c>
      <c r="D30" s="0" t="s">
        <v>47</v>
      </c>
      <c r="E30" s="11" t="n">
        <v>1</v>
      </c>
      <c r="F30" s="11" t="n">
        <v>1</v>
      </c>
      <c r="G30" s="11" t="n">
        <v>1</v>
      </c>
      <c r="H30" s="11" t="n">
        <v>1</v>
      </c>
      <c r="I30" s="12" t="s">
        <v>69</v>
      </c>
      <c r="J30" s="12" t="s">
        <v>70</v>
      </c>
    </row>
    <row r="31" customFormat="false" ht="15" hidden="false" customHeight="false" outlineLevel="0" collapsed="false">
      <c r="A31" s="0" t="str">
        <f aca="false">B31&amp;"|"&amp;C31&amp;"|"&amp;D31</f>
        <v>LiIon_Share|EV_4W|All</v>
      </c>
      <c r="B31" s="0" t="s">
        <v>65</v>
      </c>
      <c r="C31" s="0" t="s">
        <v>55</v>
      </c>
      <c r="D31" s="0" t="s">
        <v>47</v>
      </c>
      <c r="E31" s="11" t="n">
        <v>1</v>
      </c>
      <c r="F31" s="11" t="n">
        <v>1</v>
      </c>
      <c r="G31" s="11" t="n">
        <v>1</v>
      </c>
      <c r="H31" s="11" t="n">
        <v>1</v>
      </c>
      <c r="I31" s="12" t="s">
        <v>69</v>
      </c>
      <c r="J31" s="12" t="s">
        <v>70</v>
      </c>
    </row>
    <row r="32" customFormat="false" ht="15" hidden="false" customHeight="false" outlineLevel="0" collapsed="false">
      <c r="A32" s="0" t="str">
        <f aca="false">B32&amp;"|"&amp;C32&amp;"|"&amp;D32</f>
        <v>LiIon_Share|EV_Bus|All</v>
      </c>
      <c r="B32" s="0" t="s">
        <v>65</v>
      </c>
      <c r="C32" s="0" t="s">
        <v>57</v>
      </c>
      <c r="D32" s="0" t="s">
        <v>47</v>
      </c>
      <c r="E32" s="11" t="n">
        <v>1</v>
      </c>
      <c r="F32" s="11" t="n">
        <v>1</v>
      </c>
      <c r="G32" s="11" t="n">
        <v>1</v>
      </c>
      <c r="H32" s="11" t="n">
        <v>1</v>
      </c>
      <c r="I32" s="12" t="s">
        <v>69</v>
      </c>
      <c r="J32" s="12" t="s">
        <v>70</v>
      </c>
    </row>
    <row r="33" customFormat="false" ht="15" hidden="false" customHeight="false" outlineLevel="0" collapsed="false">
      <c r="A33" s="0" t="str">
        <f aca="false">B33&amp;"|"&amp;C33&amp;"|"&amp;D33</f>
        <v>LiIon_Share|EV_Truck|All</v>
      </c>
      <c r="B33" s="0" t="s">
        <v>65</v>
      </c>
      <c r="C33" s="0" t="s">
        <v>58</v>
      </c>
      <c r="D33" s="0" t="s">
        <v>47</v>
      </c>
      <c r="E33" s="11" t="n">
        <v>1</v>
      </c>
      <c r="F33" s="11" t="n">
        <v>1</v>
      </c>
      <c r="G33" s="11" t="n">
        <v>1</v>
      </c>
      <c r="H33" s="11" t="n">
        <v>1</v>
      </c>
      <c r="I33" s="12" t="s">
        <v>69</v>
      </c>
      <c r="J33" s="12" t="s">
        <v>70</v>
      </c>
    </row>
    <row r="34" customFormat="false" ht="15" hidden="false" customHeight="false" outlineLevel="0" collapsed="false">
      <c r="A34" s="0" t="str">
        <f aca="false">B34&amp;"|"&amp;C34&amp;"|"&amp;D34</f>
        <v>kWh_per_Unit|EV_2W|All</v>
      </c>
      <c r="B34" s="0" t="s">
        <v>71</v>
      </c>
      <c r="C34" s="0" t="s">
        <v>46</v>
      </c>
      <c r="D34" s="0" t="s">
        <v>47</v>
      </c>
      <c r="E34" s="11" t="n">
        <v>2.8</v>
      </c>
      <c r="F34" s="11" t="n">
        <v>3.2</v>
      </c>
      <c r="G34" s="11" t="n">
        <v>3.5</v>
      </c>
      <c r="H34" s="11" t="n">
        <v>3.8</v>
      </c>
      <c r="I34" s="12" t="s">
        <v>72</v>
      </c>
      <c r="J34" s="12" t="s">
        <v>73</v>
      </c>
      <c r="K34" s="12" t="s">
        <v>74</v>
      </c>
    </row>
    <row r="35" customFormat="false" ht="15" hidden="false" customHeight="false" outlineLevel="0" collapsed="false">
      <c r="A35" s="0" t="str">
        <f aca="false">B35&amp;"|"&amp;C35&amp;"|"&amp;D35</f>
        <v>kWh_per_Unit|EV_3W_L5|All</v>
      </c>
      <c r="B35" s="0" t="s">
        <v>71</v>
      </c>
      <c r="C35" s="0" t="s">
        <v>51</v>
      </c>
      <c r="D35" s="0" t="s">
        <v>47</v>
      </c>
      <c r="E35" s="11" t="n">
        <v>8</v>
      </c>
      <c r="F35" s="11" t="n">
        <v>10</v>
      </c>
      <c r="G35" s="11" t="n">
        <v>11</v>
      </c>
      <c r="H35" s="11" t="n">
        <v>12</v>
      </c>
      <c r="I35" s="12" t="s">
        <v>72</v>
      </c>
      <c r="J35" s="12" t="s">
        <v>73</v>
      </c>
      <c r="K35" s="12" t="s">
        <v>74</v>
      </c>
    </row>
    <row r="36" customFormat="false" ht="15" hidden="false" customHeight="false" outlineLevel="0" collapsed="false">
      <c r="A36" s="0" t="str">
        <f aca="false">B36&amp;"|"&amp;C36&amp;"|"&amp;D36</f>
        <v>kWh_per_Unit|EV_3W_L3|All</v>
      </c>
      <c r="B36" s="0" t="s">
        <v>71</v>
      </c>
      <c r="C36" s="0" t="s">
        <v>53</v>
      </c>
      <c r="D36" s="0" t="s">
        <v>47</v>
      </c>
      <c r="E36" s="11" t="n">
        <v>5</v>
      </c>
      <c r="F36" s="11" t="n">
        <v>6</v>
      </c>
      <c r="G36" s="11" t="n">
        <v>6.5</v>
      </c>
      <c r="H36" s="11" t="n">
        <v>7</v>
      </c>
      <c r="I36" s="12" t="s">
        <v>72</v>
      </c>
      <c r="J36" s="12" t="s">
        <v>73</v>
      </c>
      <c r="K36" s="12" t="s">
        <v>74</v>
      </c>
    </row>
    <row r="37" customFormat="false" ht="15" hidden="false" customHeight="false" outlineLevel="0" collapsed="false">
      <c r="A37" s="0" t="str">
        <f aca="false">B37&amp;"|"&amp;C37&amp;"|"&amp;D37</f>
        <v>kWh_per_Unit|EV_4W|All</v>
      </c>
      <c r="B37" s="0" t="s">
        <v>71</v>
      </c>
      <c r="C37" s="0" t="s">
        <v>55</v>
      </c>
      <c r="D37" s="0" t="s">
        <v>47</v>
      </c>
      <c r="E37" s="11" t="n">
        <v>38</v>
      </c>
      <c r="F37" s="11" t="n">
        <v>42</v>
      </c>
      <c r="G37" s="11" t="n">
        <v>45</v>
      </c>
      <c r="H37" s="11" t="n">
        <v>48</v>
      </c>
      <c r="I37" s="12" t="s">
        <v>72</v>
      </c>
      <c r="J37" s="12" t="s">
        <v>73</v>
      </c>
      <c r="K37" s="12" t="s">
        <v>74</v>
      </c>
    </row>
    <row r="38" customFormat="false" ht="15" hidden="false" customHeight="false" outlineLevel="0" collapsed="false">
      <c r="A38" s="0" t="str">
        <f aca="false">B38&amp;"|"&amp;C38&amp;"|"&amp;D38</f>
        <v>kWh_per_Unit|EV_Bus|All</v>
      </c>
      <c r="B38" s="0" t="s">
        <v>71</v>
      </c>
      <c r="C38" s="0" t="s">
        <v>57</v>
      </c>
      <c r="D38" s="0" t="s">
        <v>47</v>
      </c>
      <c r="E38" s="11" t="n">
        <v>280</v>
      </c>
      <c r="F38" s="11" t="n">
        <v>320</v>
      </c>
      <c r="G38" s="11" t="n">
        <v>350</v>
      </c>
      <c r="H38" s="11" t="n">
        <v>380</v>
      </c>
      <c r="I38" s="12" t="s">
        <v>72</v>
      </c>
      <c r="J38" s="12" t="s">
        <v>73</v>
      </c>
      <c r="K38" s="12" t="s">
        <v>74</v>
      </c>
    </row>
    <row r="39" customFormat="false" ht="15" hidden="false" customHeight="false" outlineLevel="0" collapsed="false">
      <c r="A39" s="0" t="str">
        <f aca="false">B39&amp;"|"&amp;C39&amp;"|"&amp;D39</f>
        <v>kWh_per_Unit|EV_Truck|All</v>
      </c>
      <c r="B39" s="0" t="s">
        <v>71</v>
      </c>
      <c r="C39" s="0" t="s">
        <v>58</v>
      </c>
      <c r="D39" s="0" t="s">
        <v>47</v>
      </c>
      <c r="E39" s="11" t="n">
        <v>40</v>
      </c>
      <c r="F39" s="11" t="n">
        <v>60</v>
      </c>
      <c r="G39" s="11" t="n">
        <v>90</v>
      </c>
      <c r="H39" s="11" t="n">
        <v>120</v>
      </c>
      <c r="I39" s="12" t="s">
        <v>72</v>
      </c>
      <c r="J39" s="12" t="s">
        <v>73</v>
      </c>
      <c r="K39" s="12" t="s">
        <v>74</v>
      </c>
    </row>
    <row r="40" customFormat="false" ht="15" hidden="false" customHeight="false" outlineLevel="0" collapsed="false">
      <c r="A40" s="0" t="str">
        <f aca="false">B40&amp;"|"&amp;C40&amp;"|"&amp;D40</f>
        <v>LFP_Share|EV_2W|All</v>
      </c>
      <c r="B40" s="0" t="s">
        <v>75</v>
      </c>
      <c r="C40" s="0" t="s">
        <v>46</v>
      </c>
      <c r="D40" s="0" t="s">
        <v>47</v>
      </c>
      <c r="E40" s="11" t="n">
        <v>0.6</v>
      </c>
      <c r="F40" s="11" t="n">
        <v>0.7</v>
      </c>
      <c r="G40" s="11" t="n">
        <v>0.75</v>
      </c>
      <c r="H40" s="11" t="n">
        <v>0.8</v>
      </c>
      <c r="I40" s="12" t="s">
        <v>76</v>
      </c>
      <c r="J40" s="12" t="s">
        <v>70</v>
      </c>
    </row>
    <row r="41" customFormat="false" ht="15" hidden="false" customHeight="false" outlineLevel="0" collapsed="false">
      <c r="A41" s="0" t="str">
        <f aca="false">B41&amp;"|"&amp;C41&amp;"|"&amp;D41</f>
        <v>LFP_Share|EV_3W_L5|All</v>
      </c>
      <c r="B41" s="0" t="s">
        <v>75</v>
      </c>
      <c r="C41" s="0" t="s">
        <v>51</v>
      </c>
      <c r="D41" s="0" t="s">
        <v>47</v>
      </c>
      <c r="E41" s="11" t="n">
        <v>0.9</v>
      </c>
      <c r="F41" s="11" t="n">
        <v>0.95</v>
      </c>
      <c r="G41" s="11" t="n">
        <v>0.95</v>
      </c>
      <c r="H41" s="11" t="n">
        <v>0.95</v>
      </c>
      <c r="I41" s="12" t="s">
        <v>76</v>
      </c>
      <c r="J41" s="12" t="s">
        <v>70</v>
      </c>
    </row>
    <row r="42" customFormat="false" ht="15" hidden="false" customHeight="false" outlineLevel="0" collapsed="false">
      <c r="A42" s="0" t="str">
        <f aca="false">B42&amp;"|"&amp;C42&amp;"|"&amp;D42</f>
        <v>LFP_Share|EV_3W_L3|All</v>
      </c>
      <c r="B42" s="0" t="s">
        <v>75</v>
      </c>
      <c r="C42" s="0" t="s">
        <v>53</v>
      </c>
      <c r="D42" s="0" t="s">
        <v>47</v>
      </c>
      <c r="E42" s="11" t="n">
        <v>1</v>
      </c>
      <c r="F42" s="11" t="n">
        <v>1</v>
      </c>
      <c r="G42" s="11" t="n">
        <v>1</v>
      </c>
      <c r="H42" s="11" t="n">
        <v>1</v>
      </c>
      <c r="I42" s="12" t="s">
        <v>76</v>
      </c>
      <c r="J42" s="12" t="s">
        <v>70</v>
      </c>
    </row>
    <row r="43" customFormat="false" ht="15" hidden="false" customHeight="false" outlineLevel="0" collapsed="false">
      <c r="A43" s="0" t="str">
        <f aca="false">B43&amp;"|"&amp;C43&amp;"|"&amp;D43</f>
        <v>LFP_Share|EV_4W|All</v>
      </c>
      <c r="B43" s="0" t="s">
        <v>75</v>
      </c>
      <c r="C43" s="0" t="s">
        <v>55</v>
      </c>
      <c r="D43" s="0" t="s">
        <v>47</v>
      </c>
      <c r="E43" s="11" t="n">
        <v>0.45</v>
      </c>
      <c r="F43" s="11" t="n">
        <v>0.6</v>
      </c>
      <c r="G43" s="11" t="n">
        <v>0.65</v>
      </c>
      <c r="H43" s="11" t="n">
        <v>0.7</v>
      </c>
      <c r="I43" s="12" t="s">
        <v>76</v>
      </c>
      <c r="J43" s="12" t="s">
        <v>70</v>
      </c>
    </row>
    <row r="44" customFormat="false" ht="15" hidden="false" customHeight="false" outlineLevel="0" collapsed="false">
      <c r="A44" s="0" t="str">
        <f aca="false">B44&amp;"|"&amp;C44&amp;"|"&amp;D44</f>
        <v>LFP_Share|EV_Bus|All</v>
      </c>
      <c r="B44" s="0" t="s">
        <v>75</v>
      </c>
      <c r="C44" s="0" t="s">
        <v>57</v>
      </c>
      <c r="D44" s="0" t="s">
        <v>47</v>
      </c>
      <c r="E44" s="11" t="n">
        <v>0.9</v>
      </c>
      <c r="F44" s="11" t="n">
        <v>0.95</v>
      </c>
      <c r="G44" s="11" t="n">
        <v>0.95</v>
      </c>
      <c r="H44" s="11" t="n">
        <v>0.95</v>
      </c>
      <c r="I44" s="12" t="s">
        <v>76</v>
      </c>
      <c r="J44" s="12" t="s">
        <v>70</v>
      </c>
    </row>
    <row r="45" customFormat="false" ht="15" hidden="false" customHeight="false" outlineLevel="0" collapsed="false">
      <c r="A45" s="0" t="str">
        <f aca="false">B45&amp;"|"&amp;C45&amp;"|"&amp;D45</f>
        <v>LFP_Share|EV_Truck|All</v>
      </c>
      <c r="B45" s="0" t="s">
        <v>75</v>
      </c>
      <c r="C45" s="0" t="s">
        <v>58</v>
      </c>
      <c r="D45" s="0" t="s">
        <v>47</v>
      </c>
      <c r="E45" s="11" t="n">
        <v>0.8</v>
      </c>
      <c r="F45" s="11" t="n">
        <v>0.85</v>
      </c>
      <c r="G45" s="11" t="n">
        <v>0.9</v>
      </c>
      <c r="H45" s="11" t="n">
        <v>0.9</v>
      </c>
      <c r="I45" s="12" t="s">
        <v>76</v>
      </c>
      <c r="J45" s="12" t="s">
        <v>70</v>
      </c>
    </row>
    <row r="46" customFormat="false" ht="15" hidden="false" customHeight="false" outlineLevel="0" collapsed="false">
      <c r="A46" s="0" t="str">
        <f aca="false">B46&amp;"|"&amp;C46&amp;"|"&amp;D46</f>
        <v>LFP_Share|BESS|All</v>
      </c>
      <c r="B46" s="0" t="s">
        <v>75</v>
      </c>
      <c r="C46" s="0" t="s">
        <v>77</v>
      </c>
      <c r="D46" s="0" t="s">
        <v>47</v>
      </c>
      <c r="E46" s="11" t="n">
        <v>1</v>
      </c>
      <c r="F46" s="11" t="n">
        <v>1</v>
      </c>
      <c r="G46" s="11" t="n">
        <v>1</v>
      </c>
      <c r="H46" s="11" t="n">
        <v>1</v>
      </c>
      <c r="I46" s="12" t="s">
        <v>76</v>
      </c>
      <c r="J46" s="12" t="s">
        <v>70</v>
      </c>
    </row>
    <row r="47" customFormat="false" ht="15" hidden="false" customHeight="false" outlineLevel="0" collapsed="false">
      <c r="A47" s="0" t="str">
        <f aca="false">B47&amp;"|"&amp;C47&amp;"|"&amp;D47</f>
        <v>NaIon_Share|EV_2W|All</v>
      </c>
      <c r="B47" s="0" t="s">
        <v>78</v>
      </c>
      <c r="C47" s="0" t="s">
        <v>46</v>
      </c>
      <c r="D47" s="0" t="s">
        <v>47</v>
      </c>
      <c r="E47" s="11" t="n">
        <v>0</v>
      </c>
      <c r="F47" s="11" t="n">
        <v>0.03</v>
      </c>
      <c r="G47" s="11" t="n">
        <v>0.08</v>
      </c>
      <c r="H47" s="11" t="n">
        <v>0.12</v>
      </c>
      <c r="I47" s="12" t="s">
        <v>79</v>
      </c>
      <c r="J47" s="12" t="s">
        <v>70</v>
      </c>
      <c r="K47" s="12" t="s">
        <v>80</v>
      </c>
    </row>
    <row r="48" customFormat="false" ht="15" hidden="false" customHeight="false" outlineLevel="0" collapsed="false">
      <c r="A48" s="0" t="str">
        <f aca="false">B48&amp;"|"&amp;C48&amp;"|"&amp;D48</f>
        <v>NaIon_Share|EV_3W_L5|All</v>
      </c>
      <c r="B48" s="0" t="s">
        <v>78</v>
      </c>
      <c r="C48" s="0" t="s">
        <v>51</v>
      </c>
      <c r="D48" s="0" t="s">
        <v>47</v>
      </c>
      <c r="E48" s="11" t="n">
        <v>0</v>
      </c>
      <c r="F48" s="11" t="n">
        <v>0.03</v>
      </c>
      <c r="G48" s="11" t="n">
        <v>0.08</v>
      </c>
      <c r="H48" s="11" t="n">
        <v>0.12</v>
      </c>
      <c r="I48" s="12" t="s">
        <v>79</v>
      </c>
      <c r="J48" s="12" t="s">
        <v>70</v>
      </c>
      <c r="K48" s="12" t="s">
        <v>80</v>
      </c>
    </row>
    <row r="49" customFormat="false" ht="15" hidden="false" customHeight="false" outlineLevel="0" collapsed="false">
      <c r="A49" s="0" t="str">
        <f aca="false">B49&amp;"|"&amp;C49&amp;"|"&amp;D49</f>
        <v>NaIon_Share|EV_3W_L3|All</v>
      </c>
      <c r="B49" s="0" t="s">
        <v>78</v>
      </c>
      <c r="C49" s="0" t="s">
        <v>53</v>
      </c>
      <c r="D49" s="0" t="s">
        <v>47</v>
      </c>
      <c r="E49" s="11" t="n">
        <v>0</v>
      </c>
      <c r="F49" s="11" t="n">
        <v>0.03</v>
      </c>
      <c r="G49" s="11" t="n">
        <v>0.08</v>
      </c>
      <c r="H49" s="11" t="n">
        <v>0.12</v>
      </c>
      <c r="I49" s="12" t="s">
        <v>79</v>
      </c>
      <c r="J49" s="12" t="s">
        <v>70</v>
      </c>
      <c r="K49" s="12" t="s">
        <v>80</v>
      </c>
    </row>
    <row r="50" customFormat="false" ht="15" hidden="false" customHeight="false" outlineLevel="0" collapsed="false">
      <c r="A50" s="0" t="str">
        <f aca="false">B50&amp;"|"&amp;C50&amp;"|"&amp;D50</f>
        <v>NaIon_Share|BESS|All</v>
      </c>
      <c r="B50" s="0" t="s">
        <v>78</v>
      </c>
      <c r="C50" s="0" t="s">
        <v>77</v>
      </c>
      <c r="D50" s="0" t="s">
        <v>47</v>
      </c>
      <c r="E50" s="11" t="n">
        <v>0</v>
      </c>
      <c r="F50" s="11" t="n">
        <v>0.03</v>
      </c>
      <c r="G50" s="11" t="n">
        <v>0.08</v>
      </c>
      <c r="H50" s="11" t="n">
        <v>0.12</v>
      </c>
      <c r="I50" s="12" t="s">
        <v>79</v>
      </c>
      <c r="J50" s="12" t="s">
        <v>70</v>
      </c>
      <c r="K50" s="12" t="s">
        <v>80</v>
      </c>
    </row>
    <row r="51" customFormat="false" ht="15" hidden="false" customHeight="false" outlineLevel="0" collapsed="false">
      <c r="A51" s="0" t="str">
        <f aca="false">B51&amp;"|"&amp;C51&amp;"|"&amp;D51</f>
        <v>BESS_Cumulative_GWh|BESS|Low</v>
      </c>
      <c r="B51" s="0" t="s">
        <v>81</v>
      </c>
      <c r="C51" s="0" t="s">
        <v>77</v>
      </c>
      <c r="D51" s="0" t="s">
        <v>60</v>
      </c>
      <c r="E51" s="11" t="n">
        <v>4</v>
      </c>
      <c r="F51" s="11" t="n">
        <v>60</v>
      </c>
      <c r="G51" s="11" t="n">
        <v>200</v>
      </c>
      <c r="H51" s="11" t="n">
        <v>320</v>
      </c>
      <c r="I51" s="12" t="s">
        <v>82</v>
      </c>
      <c r="J51" s="12" t="s">
        <v>83</v>
      </c>
      <c r="K51" s="12" t="s">
        <v>84</v>
      </c>
    </row>
    <row r="52" customFormat="false" ht="15" hidden="false" customHeight="false" outlineLevel="0" collapsed="false">
      <c r="A52" s="0" t="str">
        <f aca="false">B52&amp;"|"&amp;C52&amp;"|"&amp;D52</f>
        <v>BESS_Cumulative_GWh|BESS|Base</v>
      </c>
      <c r="B52" s="0" t="s">
        <v>81</v>
      </c>
      <c r="C52" s="0" t="s">
        <v>77</v>
      </c>
      <c r="D52" s="0" t="s">
        <v>2</v>
      </c>
      <c r="E52" s="11" t="n">
        <v>4</v>
      </c>
      <c r="F52" s="11" t="n">
        <v>110</v>
      </c>
      <c r="G52" s="11" t="n">
        <v>300</v>
      </c>
      <c r="H52" s="11" t="n">
        <v>500</v>
      </c>
      <c r="I52" s="12" t="s">
        <v>82</v>
      </c>
      <c r="J52" s="12" t="s">
        <v>83</v>
      </c>
      <c r="K52" s="12" t="s">
        <v>84</v>
      </c>
    </row>
    <row r="53" customFormat="false" ht="15" hidden="false" customHeight="false" outlineLevel="0" collapsed="false">
      <c r="A53" s="0" t="str">
        <f aca="false">B53&amp;"|"&amp;C53&amp;"|"&amp;D53</f>
        <v>BESS_Cumulative_GWh|BESS|High</v>
      </c>
      <c r="B53" s="0" t="s">
        <v>81</v>
      </c>
      <c r="C53" s="0" t="s">
        <v>77</v>
      </c>
      <c r="D53" s="0" t="s">
        <v>64</v>
      </c>
      <c r="E53" s="11" t="n">
        <v>4</v>
      </c>
      <c r="F53" s="11" t="n">
        <v>180</v>
      </c>
      <c r="G53" s="11" t="n">
        <v>420</v>
      </c>
      <c r="H53" s="11" t="n">
        <v>750</v>
      </c>
      <c r="I53" s="12" t="s">
        <v>82</v>
      </c>
      <c r="J53" s="12" t="s">
        <v>83</v>
      </c>
      <c r="K53" s="12" t="s">
        <v>84</v>
      </c>
    </row>
    <row r="54" customFormat="false" ht="15" hidden="false" customHeight="false" outlineLevel="0" collapsed="false">
      <c r="A54" s="0" t="str">
        <f aca="false">B54&amp;"|"&amp;C54&amp;"|"&amp;D54</f>
        <v>Units|ELEC_Phone|Low</v>
      </c>
      <c r="B54" s="0" t="s">
        <v>85</v>
      </c>
      <c r="C54" s="0" t="s">
        <v>86</v>
      </c>
      <c r="D54" s="0" t="s">
        <v>60</v>
      </c>
      <c r="E54" s="11" t="n">
        <v>152000000</v>
      </c>
      <c r="F54" s="11" t="n">
        <v>144550487.5848</v>
      </c>
      <c r="G54" s="11" t="n">
        <v>137466075.401338</v>
      </c>
      <c r="H54" s="11" t="n">
        <v>130728869.905476</v>
      </c>
      <c r="I54" s="12" t="s">
        <v>87</v>
      </c>
      <c r="J54" s="12" t="s">
        <v>88</v>
      </c>
      <c r="K54" s="12" t="s">
        <v>89</v>
      </c>
    </row>
    <row r="55" customFormat="false" ht="15" hidden="false" customHeight="false" outlineLevel="0" collapsed="false">
      <c r="A55" s="0" t="str">
        <f aca="false">B55&amp;"|"&amp;C55&amp;"|"&amp;D55</f>
        <v>Units|ELEC_Phone|Base</v>
      </c>
      <c r="B55" s="0" t="s">
        <v>85</v>
      </c>
      <c r="C55" s="0" t="s">
        <v>86</v>
      </c>
      <c r="D55" s="0" t="s">
        <v>2</v>
      </c>
      <c r="E55" s="11" t="n">
        <v>152000000</v>
      </c>
      <c r="F55" s="11" t="n">
        <v>159753527.6152</v>
      </c>
      <c r="G55" s="11" t="n">
        <v>167902563.062503</v>
      </c>
      <c r="H55" s="11" t="n">
        <v>176467281.21624</v>
      </c>
      <c r="I55" s="12" t="s">
        <v>87</v>
      </c>
      <c r="J55" s="12" t="s">
        <v>88</v>
      </c>
      <c r="K55" s="12" t="s">
        <v>90</v>
      </c>
    </row>
    <row r="56" customFormat="false" ht="15" hidden="false" customHeight="false" outlineLevel="0" collapsed="false">
      <c r="A56" s="0" t="str">
        <f aca="false">B56&amp;"|"&amp;C56&amp;"|"&amp;D56</f>
        <v>Units|ELEC_Phone|High</v>
      </c>
      <c r="B56" s="0" t="s">
        <v>85</v>
      </c>
      <c r="C56" s="0" t="s">
        <v>86</v>
      </c>
      <c r="D56" s="0" t="s">
        <v>64</v>
      </c>
      <c r="E56" s="11" t="n">
        <v>152000000</v>
      </c>
      <c r="F56" s="11" t="n">
        <v>176209659.2936</v>
      </c>
      <c r="G56" s="11" t="n">
        <v>204275289.660307</v>
      </c>
      <c r="H56" s="11" t="n">
        <v>236811047.323316</v>
      </c>
      <c r="I56" s="12" t="s">
        <v>87</v>
      </c>
      <c r="J56" s="12" t="s">
        <v>88</v>
      </c>
      <c r="K56" s="12" t="s">
        <v>91</v>
      </c>
    </row>
    <row r="57" customFormat="false" ht="15" hidden="false" customHeight="false" outlineLevel="0" collapsed="false">
      <c r="A57" s="0" t="str">
        <f aca="false">B57&amp;"|"&amp;C57&amp;"|"&amp;D57</f>
        <v>Units|ELEC_PC|Low</v>
      </c>
      <c r="B57" s="0" t="s">
        <v>85</v>
      </c>
      <c r="C57" s="0" t="s">
        <v>92</v>
      </c>
      <c r="D57" s="0" t="s">
        <v>60</v>
      </c>
      <c r="E57" s="11" t="n">
        <v>15900000</v>
      </c>
      <c r="F57" s="11" t="n">
        <v>17554884.77088</v>
      </c>
      <c r="G57" s="11" t="n">
        <v>19382011.2779166</v>
      </c>
      <c r="H57" s="11" t="n">
        <v>21399306.5793537</v>
      </c>
      <c r="I57" s="12" t="s">
        <v>87</v>
      </c>
      <c r="J57" s="12" t="s">
        <v>93</v>
      </c>
      <c r="K57" s="12" t="s">
        <v>94</v>
      </c>
    </row>
    <row r="58" customFormat="false" ht="15" hidden="false" customHeight="false" outlineLevel="0" collapsed="false">
      <c r="A58" s="0" t="str">
        <f aca="false">B58&amp;"|"&amp;C58&amp;"|"&amp;D58</f>
        <v>Units|ELEC_PC|Base</v>
      </c>
      <c r="B58" s="0" t="s">
        <v>85</v>
      </c>
      <c r="C58" s="0" t="s">
        <v>92</v>
      </c>
      <c r="D58" s="0" t="s">
        <v>2</v>
      </c>
      <c r="E58" s="11" t="n">
        <v>15900000</v>
      </c>
      <c r="F58" s="11" t="n">
        <v>19344781.14816</v>
      </c>
      <c r="G58" s="11" t="n">
        <v>23535884.1302017</v>
      </c>
      <c r="H58" s="11" t="n">
        <v>28635001.73756</v>
      </c>
      <c r="I58" s="12" t="s">
        <v>87</v>
      </c>
      <c r="J58" s="12" t="s">
        <v>93</v>
      </c>
      <c r="K58" s="12" t="s">
        <v>95</v>
      </c>
    </row>
    <row r="59" customFormat="false" ht="15" hidden="false" customHeight="false" outlineLevel="0" collapsed="false">
      <c r="A59" s="0" t="str">
        <f aca="false">B59&amp;"|"&amp;C59&amp;"|"&amp;D59</f>
        <v>Units|ELEC_PC|High</v>
      </c>
      <c r="B59" s="0" t="s">
        <v>85</v>
      </c>
      <c r="C59" s="0" t="s">
        <v>92</v>
      </c>
      <c r="D59" s="0" t="s">
        <v>64</v>
      </c>
      <c r="E59" s="11" t="n">
        <v>15900000</v>
      </c>
      <c r="F59" s="11" t="n">
        <v>21277786.68384</v>
      </c>
      <c r="G59" s="11" t="n">
        <v>28474478.3750314</v>
      </c>
      <c r="H59" s="11" t="n">
        <v>38105275.2702851</v>
      </c>
      <c r="I59" s="12" t="s">
        <v>87</v>
      </c>
      <c r="J59" s="12" t="s">
        <v>93</v>
      </c>
      <c r="K59" s="12" t="s">
        <v>96</v>
      </c>
    </row>
    <row r="60" customFormat="false" ht="15" hidden="false" customHeight="false" outlineLevel="0" collapsed="false">
      <c r="A60" s="0" t="str">
        <f aca="false">B60&amp;"|"&amp;C60&amp;"|"&amp;D60</f>
        <v>Units|ELEC_Tablet|Low</v>
      </c>
      <c r="B60" s="0" t="s">
        <v>85</v>
      </c>
      <c r="C60" s="0" t="s">
        <v>97</v>
      </c>
      <c r="D60" s="0" t="s">
        <v>60</v>
      </c>
      <c r="E60" s="11" t="n">
        <v>4500000</v>
      </c>
      <c r="F60" s="11" t="n">
        <v>4500000</v>
      </c>
      <c r="G60" s="11" t="n">
        <v>4500000</v>
      </c>
      <c r="H60" s="11" t="n">
        <v>4500000</v>
      </c>
      <c r="I60" s="12" t="s">
        <v>87</v>
      </c>
      <c r="J60" s="12" t="s">
        <v>70</v>
      </c>
      <c r="K60" s="12" t="s">
        <v>98</v>
      </c>
    </row>
    <row r="61" customFormat="false" ht="15" hidden="false" customHeight="false" outlineLevel="0" collapsed="false">
      <c r="A61" s="0" t="str">
        <f aca="false">B61&amp;"|"&amp;C61&amp;"|"&amp;D61</f>
        <v>Units|ELEC_Tablet|Base</v>
      </c>
      <c r="B61" s="0" t="s">
        <v>85</v>
      </c>
      <c r="C61" s="0" t="s">
        <v>97</v>
      </c>
      <c r="D61" s="0" t="s">
        <v>2</v>
      </c>
      <c r="E61" s="11" t="n">
        <v>4500000</v>
      </c>
      <c r="F61" s="11" t="n">
        <v>5216733.33435</v>
      </c>
      <c r="G61" s="11" t="n">
        <v>6047623.70704855</v>
      </c>
      <c r="H61" s="11" t="n">
        <v>7010853.37470344</v>
      </c>
      <c r="I61" s="12" t="s">
        <v>87</v>
      </c>
      <c r="J61" s="12" t="s">
        <v>70</v>
      </c>
      <c r="K61" s="12" t="s">
        <v>91</v>
      </c>
    </row>
    <row r="62" customFormat="false" ht="15" hidden="false" customHeight="false" outlineLevel="0" collapsed="false">
      <c r="A62" s="0" t="str">
        <f aca="false">B62&amp;"|"&amp;C62&amp;"|"&amp;D62</f>
        <v>Units|ELEC_Tablet|High</v>
      </c>
      <c r="B62" s="0" t="s">
        <v>85</v>
      </c>
      <c r="C62" s="0" t="s">
        <v>97</v>
      </c>
      <c r="D62" s="0" t="s">
        <v>64</v>
      </c>
      <c r="E62" s="11" t="n">
        <v>4500000</v>
      </c>
      <c r="F62" s="11" t="n">
        <v>5743267.03125</v>
      </c>
      <c r="G62" s="11" t="n">
        <v>7330025.82049849</v>
      </c>
      <c r="H62" s="11" t="n">
        <v>9355176.80735116</v>
      </c>
      <c r="I62" s="12" t="s">
        <v>87</v>
      </c>
      <c r="J62" s="12" t="s">
        <v>70</v>
      </c>
      <c r="K62" s="12" t="s">
        <v>99</v>
      </c>
    </row>
    <row r="63" customFormat="false" ht="15" hidden="false" customHeight="false" outlineLevel="0" collapsed="false">
      <c r="A63" s="0" t="str">
        <f aca="false">B63&amp;"|"&amp;C63&amp;"|"&amp;D63</f>
        <v>Units|ELEC_Wearable|Low</v>
      </c>
      <c r="B63" s="0" t="s">
        <v>85</v>
      </c>
      <c r="C63" s="0" t="s">
        <v>100</v>
      </c>
      <c r="D63" s="0" t="s">
        <v>60</v>
      </c>
      <c r="E63" s="11" t="n">
        <v>114200000</v>
      </c>
      <c r="F63" s="11" t="n">
        <v>103227754.99456</v>
      </c>
      <c r="G63" s="11" t="n">
        <v>93309714.5465578</v>
      </c>
      <c r="H63" s="11" t="n">
        <v>84344591.5221051</v>
      </c>
      <c r="I63" s="12" t="s">
        <v>87</v>
      </c>
      <c r="J63" s="12" t="s">
        <v>101</v>
      </c>
      <c r="K63" s="12" t="s">
        <v>102</v>
      </c>
    </row>
    <row r="64" customFormat="false" ht="15" hidden="false" customHeight="false" outlineLevel="0" collapsed="false">
      <c r="A64" s="0" t="str">
        <f aca="false">B64&amp;"|"&amp;C64&amp;"|"&amp;D64</f>
        <v>Units|ELEC_Wearable|Base</v>
      </c>
      <c r="B64" s="0" t="s">
        <v>85</v>
      </c>
      <c r="C64" s="0" t="s">
        <v>100</v>
      </c>
      <c r="D64" s="0" t="s">
        <v>2</v>
      </c>
      <c r="E64" s="11" t="n">
        <v>114200000</v>
      </c>
      <c r="F64" s="11" t="n">
        <v>120025347.72142</v>
      </c>
      <c r="G64" s="11" t="n">
        <v>126147846.72196</v>
      </c>
      <c r="H64" s="11" t="n">
        <v>132582654.703254</v>
      </c>
      <c r="I64" s="12" t="s">
        <v>87</v>
      </c>
      <c r="J64" s="12" t="s">
        <v>101</v>
      </c>
      <c r="K64" s="12" t="s">
        <v>90</v>
      </c>
    </row>
    <row r="65" customFormat="false" ht="15" hidden="false" customHeight="false" outlineLevel="0" collapsed="false">
      <c r="A65" s="0" t="str">
        <f aca="false">B65&amp;"|"&amp;C65&amp;"|"&amp;D65</f>
        <v>Units|ELEC_Wearable|High</v>
      </c>
      <c r="B65" s="0" t="s">
        <v>85</v>
      </c>
      <c r="C65" s="0" t="s">
        <v>100</v>
      </c>
      <c r="D65" s="0" t="s">
        <v>64</v>
      </c>
      <c r="E65" s="11" t="n">
        <v>114200000</v>
      </c>
      <c r="F65" s="11" t="n">
        <v>138941761.45408</v>
      </c>
      <c r="G65" s="11" t="n">
        <v>169043897.337675</v>
      </c>
      <c r="H65" s="11" t="n">
        <v>205667748.32889</v>
      </c>
      <c r="I65" s="12" t="s">
        <v>87</v>
      </c>
      <c r="J65" s="12" t="s">
        <v>101</v>
      </c>
      <c r="K65" s="12" t="s">
        <v>95</v>
      </c>
    </row>
    <row r="66" customFormat="false" ht="15" hidden="false" customHeight="false" outlineLevel="0" collapsed="false">
      <c r="A66" s="0" t="str">
        <f aca="false">B66&amp;"|"&amp;C66&amp;"|"&amp;D66</f>
        <v>Units|ELEC_PowerBank|Low</v>
      </c>
      <c r="B66" s="0" t="s">
        <v>85</v>
      </c>
      <c r="C66" s="0" t="s">
        <v>103</v>
      </c>
      <c r="D66" s="0" t="s">
        <v>60</v>
      </c>
      <c r="E66" s="11" t="n">
        <v>25000000</v>
      </c>
      <c r="F66" s="11" t="n">
        <v>25000000</v>
      </c>
      <c r="G66" s="11" t="n">
        <v>25000000</v>
      </c>
      <c r="H66" s="11" t="n">
        <v>25000000</v>
      </c>
      <c r="I66" s="12" t="s">
        <v>87</v>
      </c>
      <c r="J66" s="12" t="s">
        <v>70</v>
      </c>
      <c r="K66" s="12" t="s">
        <v>98</v>
      </c>
    </row>
    <row r="67" customFormat="false" ht="15" hidden="false" customHeight="false" outlineLevel="0" collapsed="false">
      <c r="A67" s="0" t="str">
        <f aca="false">B67&amp;"|"&amp;C67&amp;"|"&amp;D67</f>
        <v>Units|ELEC_PowerBank|Base</v>
      </c>
      <c r="B67" s="0" t="s">
        <v>85</v>
      </c>
      <c r="C67" s="0" t="s">
        <v>103</v>
      </c>
      <c r="D67" s="0" t="s">
        <v>2</v>
      </c>
      <c r="E67" s="11" t="n">
        <v>25000000</v>
      </c>
      <c r="F67" s="11" t="n">
        <v>27602020.08</v>
      </c>
      <c r="G67" s="11" t="n">
        <v>30474860.4998689</v>
      </c>
      <c r="H67" s="11" t="n">
        <v>33646708.4581033</v>
      </c>
      <c r="I67" s="12" t="s">
        <v>87</v>
      </c>
      <c r="J67" s="12" t="s">
        <v>70</v>
      </c>
      <c r="K67" s="12" t="s">
        <v>94</v>
      </c>
    </row>
    <row r="68" customFormat="false" ht="15" hidden="false" customHeight="false" outlineLevel="0" collapsed="false">
      <c r="A68" s="0" t="str">
        <f aca="false">B68&amp;"|"&amp;C68&amp;"|"&amp;D68</f>
        <v>Units|ELEC_PowerBank|High</v>
      </c>
      <c r="B68" s="0" t="s">
        <v>85</v>
      </c>
      <c r="C68" s="0" t="s">
        <v>103</v>
      </c>
      <c r="D68" s="0" t="s">
        <v>64</v>
      </c>
      <c r="E68" s="11" t="n">
        <v>25000000</v>
      </c>
      <c r="F68" s="11" t="n">
        <v>30416322.56</v>
      </c>
      <c r="G68" s="11" t="n">
        <v>37006107.1229586</v>
      </c>
      <c r="H68" s="11" t="n">
        <v>45023587.6376729</v>
      </c>
      <c r="I68" s="12" t="s">
        <v>87</v>
      </c>
      <c r="J68" s="12" t="s">
        <v>70</v>
      </c>
      <c r="K68" s="12" t="s">
        <v>95</v>
      </c>
    </row>
    <row r="69" customFormat="false" ht="15" hidden="false" customHeight="false" outlineLevel="0" collapsed="false">
      <c r="A69" s="0" t="str">
        <f aca="false">B69&amp;"|"&amp;C69&amp;"|"&amp;D69</f>
        <v>Units|ELEC_ExportAssembly|Low</v>
      </c>
      <c r="B69" s="0" t="s">
        <v>85</v>
      </c>
      <c r="C69" s="0" t="s">
        <v>104</v>
      </c>
      <c r="D69" s="0" t="s">
        <v>60</v>
      </c>
      <c r="E69" s="11" t="n">
        <v>90000000</v>
      </c>
      <c r="F69" s="11" t="n">
        <v>104334666.687</v>
      </c>
      <c r="G69" s="11" t="n">
        <v>120952474.140971</v>
      </c>
      <c r="H69" s="11" t="n">
        <v>140217067.494069</v>
      </c>
      <c r="I69" s="12" t="s">
        <v>87</v>
      </c>
      <c r="J69" s="12" t="s">
        <v>105</v>
      </c>
      <c r="K69" s="12" t="s">
        <v>106</v>
      </c>
    </row>
    <row r="70" customFormat="false" ht="15" hidden="false" customHeight="false" outlineLevel="0" collapsed="false">
      <c r="A70" s="0" t="str">
        <f aca="false">B70&amp;"|"&amp;C70&amp;"|"&amp;D70</f>
        <v>Units|ELEC_ExportAssembly|Base</v>
      </c>
      <c r="B70" s="0" t="s">
        <v>85</v>
      </c>
      <c r="C70" s="0" t="s">
        <v>104</v>
      </c>
      <c r="D70" s="0" t="s">
        <v>2</v>
      </c>
      <c r="E70" s="11" t="n">
        <v>90000000</v>
      </c>
      <c r="F70" s="11" t="n">
        <v>126229655.763</v>
      </c>
      <c r="G70" s="11" t="n">
        <v>177043622.156061</v>
      </c>
      <c r="H70" s="11" t="n">
        <v>248312838.66438</v>
      </c>
      <c r="I70" s="12" t="s">
        <v>87</v>
      </c>
      <c r="J70" s="12" t="s">
        <v>105</v>
      </c>
      <c r="K70" s="12" t="s">
        <v>107</v>
      </c>
    </row>
    <row r="71" customFormat="false" ht="15" hidden="false" customHeight="false" outlineLevel="0" collapsed="false">
      <c r="A71" s="0" t="str">
        <f aca="false">B71&amp;"|"&amp;C71&amp;"|"&amp;D71</f>
        <v>Units|ELEC_ExportAssembly|High</v>
      </c>
      <c r="B71" s="0" t="s">
        <v>85</v>
      </c>
      <c r="C71" s="0" t="s">
        <v>104</v>
      </c>
      <c r="D71" s="0" t="s">
        <v>64</v>
      </c>
      <c r="E71" s="11" t="n">
        <v>90000000</v>
      </c>
      <c r="F71" s="11" t="n">
        <v>144945900</v>
      </c>
      <c r="G71" s="11" t="n">
        <v>233436821.409</v>
      </c>
      <c r="H71" s="11" t="n">
        <v>375952335.247409</v>
      </c>
      <c r="I71" s="12" t="s">
        <v>87</v>
      </c>
      <c r="J71" s="12" t="s">
        <v>105</v>
      </c>
      <c r="K71" s="12" t="s">
        <v>108</v>
      </c>
    </row>
    <row r="72" customFormat="false" ht="15" hidden="false" customHeight="false" outlineLevel="0" collapsed="false">
      <c r="A72" s="0" t="str">
        <f aca="false">B72&amp;"|"&amp;C72&amp;"|"&amp;D72</f>
        <v>Wh_per_Unit|ELEC_Phone|All</v>
      </c>
      <c r="B72" s="0" t="s">
        <v>109</v>
      </c>
      <c r="C72" s="0" t="s">
        <v>86</v>
      </c>
      <c r="D72" s="0" t="s">
        <v>47</v>
      </c>
      <c r="E72" s="11" t="n">
        <v>19.4</v>
      </c>
      <c r="F72" s="11" t="n">
        <v>21</v>
      </c>
      <c r="G72" s="11" t="n">
        <v>23</v>
      </c>
      <c r="H72" s="11" t="n">
        <v>24</v>
      </c>
      <c r="I72" s="12" t="s">
        <v>110</v>
      </c>
      <c r="J72" s="12" t="s">
        <v>70</v>
      </c>
      <c r="K72" s="12" t="s">
        <v>111</v>
      </c>
    </row>
    <row r="73" customFormat="false" ht="15" hidden="false" customHeight="false" outlineLevel="0" collapsed="false">
      <c r="A73" s="0" t="str">
        <f aca="false">B73&amp;"|"&amp;C73&amp;"|"&amp;D73</f>
        <v>Wh_per_Unit|ELEC_PC|All</v>
      </c>
      <c r="B73" s="0" t="s">
        <v>109</v>
      </c>
      <c r="C73" s="0" t="s">
        <v>92</v>
      </c>
      <c r="D73" s="0" t="s">
        <v>47</v>
      </c>
      <c r="E73" s="11" t="n">
        <v>50</v>
      </c>
      <c r="F73" s="11" t="n">
        <v>52</v>
      </c>
      <c r="G73" s="11" t="n">
        <v>55</v>
      </c>
      <c r="H73" s="11" t="n">
        <v>55</v>
      </c>
      <c r="I73" s="12" t="s">
        <v>110</v>
      </c>
      <c r="J73" s="12" t="s">
        <v>70</v>
      </c>
      <c r="K73" s="12" t="s">
        <v>111</v>
      </c>
    </row>
    <row r="74" customFormat="false" ht="15" hidden="false" customHeight="false" outlineLevel="0" collapsed="false">
      <c r="A74" s="0" t="str">
        <f aca="false">B74&amp;"|"&amp;C74&amp;"|"&amp;D74</f>
        <v>Wh_per_Unit|ELEC_Tablet|All</v>
      </c>
      <c r="B74" s="0" t="s">
        <v>109</v>
      </c>
      <c r="C74" s="0" t="s">
        <v>97</v>
      </c>
      <c r="D74" s="0" t="s">
        <v>47</v>
      </c>
      <c r="E74" s="11" t="n">
        <v>28</v>
      </c>
      <c r="F74" s="11" t="n">
        <v>30</v>
      </c>
      <c r="G74" s="11" t="n">
        <v>32</v>
      </c>
      <c r="H74" s="11" t="n">
        <v>32</v>
      </c>
      <c r="I74" s="12" t="s">
        <v>110</v>
      </c>
      <c r="J74" s="12" t="s">
        <v>70</v>
      </c>
      <c r="K74" s="12" t="s">
        <v>111</v>
      </c>
    </row>
    <row r="75" customFormat="false" ht="15" hidden="false" customHeight="false" outlineLevel="0" collapsed="false">
      <c r="A75" s="0" t="str">
        <f aca="false">B75&amp;"|"&amp;C75&amp;"|"&amp;D75</f>
        <v>Wh_per_Unit|ELEC_Wearable|All</v>
      </c>
      <c r="B75" s="0" t="s">
        <v>109</v>
      </c>
      <c r="C75" s="0" t="s">
        <v>100</v>
      </c>
      <c r="D75" s="0" t="s">
        <v>47</v>
      </c>
      <c r="E75" s="11" t="n">
        <v>0.75</v>
      </c>
      <c r="F75" s="11" t="n">
        <v>0.8</v>
      </c>
      <c r="G75" s="11" t="n">
        <v>0.9</v>
      </c>
      <c r="H75" s="11" t="n">
        <v>0.9</v>
      </c>
      <c r="I75" s="12" t="s">
        <v>110</v>
      </c>
      <c r="J75" s="12" t="s">
        <v>70</v>
      </c>
      <c r="K75" s="12" t="s">
        <v>111</v>
      </c>
    </row>
    <row r="76" customFormat="false" ht="15" hidden="false" customHeight="false" outlineLevel="0" collapsed="false">
      <c r="A76" s="0" t="str">
        <f aca="false">B76&amp;"|"&amp;C76&amp;"|"&amp;D76</f>
        <v>Wh_per_Unit|ELEC_PowerBank|All</v>
      </c>
      <c r="B76" s="0" t="s">
        <v>109</v>
      </c>
      <c r="C76" s="0" t="s">
        <v>103</v>
      </c>
      <c r="D76" s="0" t="s">
        <v>47</v>
      </c>
      <c r="E76" s="11" t="n">
        <v>37</v>
      </c>
      <c r="F76" s="11" t="n">
        <v>40</v>
      </c>
      <c r="G76" s="11" t="n">
        <v>40</v>
      </c>
      <c r="H76" s="11" t="n">
        <v>40</v>
      </c>
      <c r="I76" s="12" t="s">
        <v>110</v>
      </c>
      <c r="J76" s="12" t="s">
        <v>70</v>
      </c>
      <c r="K76" s="12" t="s">
        <v>111</v>
      </c>
    </row>
    <row r="77" customFormat="false" ht="15" hidden="false" customHeight="false" outlineLevel="0" collapsed="false">
      <c r="A77" s="0" t="str">
        <f aca="false">B77&amp;"|"&amp;C77&amp;"|"&amp;D77</f>
        <v>Wh_per_Unit|ELEC_ExportAssembly|All</v>
      </c>
      <c r="B77" s="0" t="s">
        <v>109</v>
      </c>
      <c r="C77" s="0" t="s">
        <v>104</v>
      </c>
      <c r="D77" s="0" t="s">
        <v>47</v>
      </c>
      <c r="E77" s="11" t="n">
        <v>19.4</v>
      </c>
      <c r="F77" s="11" t="n">
        <v>21</v>
      </c>
      <c r="G77" s="11" t="n">
        <v>23</v>
      </c>
      <c r="H77" s="11" t="n">
        <v>24</v>
      </c>
      <c r="I77" s="12" t="s">
        <v>110</v>
      </c>
      <c r="J77" s="12" t="s">
        <v>70</v>
      </c>
      <c r="K77" s="12" t="s">
        <v>111</v>
      </c>
    </row>
    <row r="78" customFormat="false" ht="15" hidden="false" customHeight="false" outlineLevel="0" collapsed="false">
      <c r="A78" s="0" t="str">
        <f aca="false">B78&amp;"|"&amp;C78&amp;"|"&amp;D78</f>
        <v>t_LCE|DEF_Defence|Low</v>
      </c>
      <c r="B78" s="0" t="s">
        <v>112</v>
      </c>
      <c r="C78" s="0" t="s">
        <v>113</v>
      </c>
      <c r="D78" s="0" t="s">
        <v>60</v>
      </c>
      <c r="E78" s="11" t="n">
        <v>150</v>
      </c>
      <c r="F78" s="11" t="n">
        <v>191.442234375</v>
      </c>
      <c r="G78" s="11" t="n">
        <v>244.334194016616</v>
      </c>
      <c r="H78" s="11" t="n">
        <v>311.839226911705</v>
      </c>
      <c r="I78" s="12" t="s">
        <v>114</v>
      </c>
      <c r="J78" s="12" t="s">
        <v>70</v>
      </c>
      <c r="K78" s="12" t="s">
        <v>115</v>
      </c>
    </row>
    <row r="79" customFormat="false" ht="15" hidden="false" customHeight="false" outlineLevel="0" collapsed="false">
      <c r="A79" s="0" t="str">
        <f aca="false">B79&amp;"|"&amp;C79&amp;"|"&amp;D79</f>
        <v>t_LCE|DEF_Defence|Base</v>
      </c>
      <c r="B79" s="0" t="s">
        <v>112</v>
      </c>
      <c r="C79" s="0" t="s">
        <v>113</v>
      </c>
      <c r="D79" s="0" t="s">
        <v>2</v>
      </c>
      <c r="E79" s="11" t="n">
        <v>150</v>
      </c>
      <c r="F79" s="11" t="n">
        <v>220.39921152</v>
      </c>
      <c r="G79" s="11" t="n">
        <v>323.838749590918</v>
      </c>
      <c r="H79" s="11" t="n">
        <v>475.825367129741</v>
      </c>
      <c r="I79" s="12" t="s">
        <v>114</v>
      </c>
      <c r="J79" s="12" t="s">
        <v>70</v>
      </c>
      <c r="K79" s="12" t="s">
        <v>116</v>
      </c>
    </row>
    <row r="80" customFormat="false" ht="15" hidden="false" customHeight="false" outlineLevel="0" collapsed="false">
      <c r="A80" s="0" t="str">
        <f aca="false">B80&amp;"|"&amp;C80&amp;"|"&amp;D80</f>
        <v>t_LCE|DEF_Defence|High</v>
      </c>
      <c r="B80" s="0" t="s">
        <v>112</v>
      </c>
      <c r="C80" s="0" t="s">
        <v>113</v>
      </c>
      <c r="D80" s="0" t="s">
        <v>64</v>
      </c>
      <c r="E80" s="11" t="n">
        <v>150</v>
      </c>
      <c r="F80" s="11" t="n">
        <v>264.35125248</v>
      </c>
      <c r="G80" s="11" t="n">
        <v>465.877231251632</v>
      </c>
      <c r="H80" s="11" t="n">
        <v>821.034863888557</v>
      </c>
      <c r="I80" s="12" t="s">
        <v>114</v>
      </c>
      <c r="J80" s="12" t="s">
        <v>70</v>
      </c>
      <c r="K80" s="12" t="s">
        <v>117</v>
      </c>
    </row>
    <row r="81" customFormat="false" ht="15" hidden="false" customHeight="false" outlineLevel="0" collapsed="false">
      <c r="A81" s="0" t="str">
        <f aca="false">B81&amp;"|"&amp;C81&amp;"|"&amp;D81</f>
        <v>t_LCE|IND_Grease|Low</v>
      </c>
      <c r="B81" s="0" t="s">
        <v>112</v>
      </c>
      <c r="C81" s="0" t="s">
        <v>118</v>
      </c>
      <c r="D81" s="0" t="s">
        <v>60</v>
      </c>
      <c r="E81" s="11" t="n">
        <v>1080.5</v>
      </c>
      <c r="F81" s="11" t="n">
        <v>1252.59563728115</v>
      </c>
      <c r="G81" s="11" t="n">
        <v>1452.10164788132</v>
      </c>
      <c r="H81" s="11" t="n">
        <v>1683.38379363713</v>
      </c>
      <c r="I81" s="12" t="s">
        <v>114</v>
      </c>
      <c r="J81" s="12" t="s">
        <v>119</v>
      </c>
      <c r="K81" s="12" t="s">
        <v>120</v>
      </c>
    </row>
    <row r="82" customFormat="false" ht="15" hidden="false" customHeight="false" outlineLevel="0" collapsed="false">
      <c r="A82" s="0" t="str">
        <f aca="false">B82&amp;"|"&amp;C82&amp;"|"&amp;D82</f>
        <v>t_LCE|IND_Grease|Base</v>
      </c>
      <c r="B82" s="0" t="s">
        <v>112</v>
      </c>
      <c r="C82" s="0" t="s">
        <v>118</v>
      </c>
      <c r="D82" s="0" t="s">
        <v>2</v>
      </c>
      <c r="E82" s="11" t="n">
        <v>1080.5</v>
      </c>
      <c r="F82" s="11" t="n">
        <v>1379.02222828125</v>
      </c>
      <c r="G82" s="11" t="n">
        <v>1760.02064423303</v>
      </c>
      <c r="H82" s="11" t="n">
        <v>2246.28189785398</v>
      </c>
      <c r="I82" s="12" t="s">
        <v>114</v>
      </c>
      <c r="J82" s="12" t="s">
        <v>119</v>
      </c>
      <c r="K82" s="12" t="s">
        <v>121</v>
      </c>
    </row>
    <row r="83" customFormat="false" ht="15" hidden="false" customHeight="false" outlineLevel="0" collapsed="false">
      <c r="A83" s="0" t="str">
        <f aca="false">B83&amp;"|"&amp;C83&amp;"|"&amp;D83</f>
        <v>t_LCE|IND_Grease|High</v>
      </c>
      <c r="B83" s="0" t="s">
        <v>112</v>
      </c>
      <c r="C83" s="0" t="s">
        <v>118</v>
      </c>
      <c r="D83" s="0" t="s">
        <v>64</v>
      </c>
      <c r="E83" s="11" t="n">
        <v>1080.5</v>
      </c>
      <c r="F83" s="11" t="n">
        <v>1515.45714502135</v>
      </c>
      <c r="G83" s="11" t="n">
        <v>2125.50704155138</v>
      </c>
      <c r="H83" s="11" t="n">
        <v>2981.13357974292</v>
      </c>
      <c r="I83" s="12" t="s">
        <v>114</v>
      </c>
      <c r="J83" s="12" t="s">
        <v>119</v>
      </c>
      <c r="K83" s="12" t="s">
        <v>122</v>
      </c>
    </row>
    <row r="84" customFormat="false" ht="15" hidden="false" customHeight="false" outlineLevel="0" collapsed="false">
      <c r="A84" s="0" t="str">
        <f aca="false">B84&amp;"|"&amp;C84&amp;"|"&amp;D84</f>
        <v>t_LCE|IND_GlassCeramics|Low</v>
      </c>
      <c r="B84" s="0" t="s">
        <v>112</v>
      </c>
      <c r="C84" s="0" t="s">
        <v>123</v>
      </c>
      <c r="D84" s="0" t="s">
        <v>60</v>
      </c>
      <c r="E84" s="11" t="n">
        <v>251.7</v>
      </c>
      <c r="F84" s="11" t="n">
        <v>291.78928450131</v>
      </c>
      <c r="G84" s="11" t="n">
        <v>338.263752680916</v>
      </c>
      <c r="H84" s="11" t="n">
        <v>392.140398758413</v>
      </c>
      <c r="I84" s="12" t="s">
        <v>114</v>
      </c>
      <c r="J84" s="12" t="s">
        <v>119</v>
      </c>
      <c r="K84" s="12" t="s">
        <v>120</v>
      </c>
    </row>
    <row r="85" customFormat="false" ht="15" hidden="false" customHeight="false" outlineLevel="0" collapsed="false">
      <c r="A85" s="0" t="str">
        <f aca="false">B85&amp;"|"&amp;C85&amp;"|"&amp;D85</f>
        <v>t_LCE|IND_GlassCeramics|Base</v>
      </c>
      <c r="B85" s="0" t="s">
        <v>112</v>
      </c>
      <c r="C85" s="0" t="s">
        <v>123</v>
      </c>
      <c r="D85" s="0" t="s">
        <v>2</v>
      </c>
      <c r="E85" s="11" t="n">
        <v>251.7</v>
      </c>
      <c r="F85" s="11" t="n">
        <v>321.24006928125</v>
      </c>
      <c r="G85" s="11" t="n">
        <v>409.992777559882</v>
      </c>
      <c r="H85" s="11" t="n">
        <v>523.266222757842</v>
      </c>
      <c r="I85" s="12" t="s">
        <v>114</v>
      </c>
      <c r="J85" s="12" t="s">
        <v>119</v>
      </c>
      <c r="K85" s="12" t="s">
        <v>121</v>
      </c>
    </row>
    <row r="86" customFormat="false" ht="15" hidden="false" customHeight="false" outlineLevel="0" collapsed="false">
      <c r="A86" s="0" t="str">
        <f aca="false">B86&amp;"|"&amp;C86&amp;"|"&amp;D86</f>
        <v>t_LCE|IND_GlassCeramics|High</v>
      </c>
      <c r="B86" s="0" t="s">
        <v>112</v>
      </c>
      <c r="C86" s="0" t="s">
        <v>123</v>
      </c>
      <c r="D86" s="0" t="s">
        <v>64</v>
      </c>
      <c r="E86" s="11" t="n">
        <v>251.7</v>
      </c>
      <c r="F86" s="11" t="n">
        <v>353.02227061719</v>
      </c>
      <c r="G86" s="11" t="n">
        <v>495.131996629784</v>
      </c>
      <c r="H86" s="11" t="n">
        <v>694.44823879805</v>
      </c>
      <c r="I86" s="12" t="s">
        <v>114</v>
      </c>
      <c r="J86" s="12" t="s">
        <v>119</v>
      </c>
      <c r="K86" s="12" t="s">
        <v>122</v>
      </c>
    </row>
    <row r="87" customFormat="false" ht="15" hidden="false" customHeight="false" outlineLevel="0" collapsed="false">
      <c r="A87" s="0" t="str">
        <f aca="false">B87&amp;"|"&amp;C87&amp;"|"&amp;D87</f>
        <v>t_LCE|IND_Pharma_Other|Low</v>
      </c>
      <c r="B87" s="0" t="s">
        <v>112</v>
      </c>
      <c r="C87" s="0" t="s">
        <v>124</v>
      </c>
      <c r="D87" s="0" t="s">
        <v>60</v>
      </c>
      <c r="E87" s="11" t="n">
        <v>371.8</v>
      </c>
      <c r="F87" s="11" t="n">
        <v>431.01810082474</v>
      </c>
      <c r="G87" s="11" t="n">
        <v>499.668109840145</v>
      </c>
      <c r="H87" s="11" t="n">
        <v>579.252285492164</v>
      </c>
      <c r="I87" s="12" t="s">
        <v>114</v>
      </c>
      <c r="J87" s="12" t="s">
        <v>119</v>
      </c>
      <c r="K87" s="12" t="s">
        <v>120</v>
      </c>
    </row>
    <row r="88" customFormat="false" ht="15" hidden="false" customHeight="false" outlineLevel="0" collapsed="false">
      <c r="A88" s="0" t="str">
        <f aca="false">B88&amp;"|"&amp;C88&amp;"|"&amp;D88</f>
        <v>t_LCE|IND_Pharma_Other|Base</v>
      </c>
      <c r="B88" s="0" t="s">
        <v>112</v>
      </c>
      <c r="C88" s="0" t="s">
        <v>124</v>
      </c>
      <c r="D88" s="0" t="s">
        <v>2</v>
      </c>
      <c r="E88" s="11" t="n">
        <v>371.8</v>
      </c>
      <c r="F88" s="11" t="n">
        <v>474.5214849375</v>
      </c>
      <c r="G88" s="11" t="n">
        <v>605.623022235853</v>
      </c>
      <c r="H88" s="11" t="n">
        <v>772.945497105147</v>
      </c>
      <c r="I88" s="12" t="s">
        <v>114</v>
      </c>
      <c r="J88" s="12" t="s">
        <v>119</v>
      </c>
      <c r="K88" s="12" t="s">
        <v>121</v>
      </c>
    </row>
    <row r="89" customFormat="false" ht="15" hidden="false" customHeight="false" outlineLevel="0" collapsed="false">
      <c r="A89" s="0" t="str">
        <f aca="false">B89&amp;"|"&amp;C89&amp;"|"&amp;D89</f>
        <v>t_LCE|IND_Pharma_Other|High</v>
      </c>
      <c r="B89" s="0" t="s">
        <v>112</v>
      </c>
      <c r="C89" s="0" t="s">
        <v>124</v>
      </c>
      <c r="D89" s="0" t="s">
        <v>64</v>
      </c>
      <c r="E89" s="11" t="n">
        <v>371.8</v>
      </c>
      <c r="F89" s="11" t="n">
        <v>521.46873347426</v>
      </c>
      <c r="G89" s="11" t="n">
        <v>731.386874640261</v>
      </c>
      <c r="H89" s="11" t="n">
        <v>1025.80792683796</v>
      </c>
      <c r="I89" s="12" t="s">
        <v>114</v>
      </c>
      <c r="J89" s="12" t="s">
        <v>119</v>
      </c>
      <c r="K89" s="12" t="s">
        <v>122</v>
      </c>
    </row>
    <row r="90" customFormat="false" ht="15" hidden="false" customHeight="false" outlineLevel="0" collapsed="false">
      <c r="A90" s="0" t="str">
        <f aca="false">B90&amp;"|"&amp;C90&amp;"|"&amp;D90</f>
        <v>Domestic_Mining_t_LCE|Supply|Low</v>
      </c>
      <c r="B90" s="0" t="s">
        <v>125</v>
      </c>
      <c r="C90" s="0" t="s">
        <v>126</v>
      </c>
      <c r="D90" s="0" t="s">
        <v>60</v>
      </c>
      <c r="E90" s="11" t="n">
        <v>0</v>
      </c>
      <c r="F90" s="11" t="n">
        <v>0</v>
      </c>
      <c r="G90" s="11" t="n">
        <v>0</v>
      </c>
      <c r="H90" s="11" t="n">
        <v>0</v>
      </c>
      <c r="I90" s="12" t="s">
        <v>114</v>
      </c>
      <c r="J90" s="12" t="s">
        <v>127</v>
      </c>
      <c r="K90" s="12" t="s">
        <v>128</v>
      </c>
    </row>
    <row r="91" customFormat="false" ht="15" hidden="false" customHeight="false" outlineLevel="0" collapsed="false">
      <c r="A91" s="0" t="str">
        <f aca="false">B91&amp;"|"&amp;C91&amp;"|"&amp;D91</f>
        <v>Domestic_Mining_Start|Supply|Low</v>
      </c>
      <c r="B91" s="0" t="s">
        <v>129</v>
      </c>
      <c r="C91" s="0" t="s">
        <v>126</v>
      </c>
      <c r="D91" s="0" t="s">
        <v>60</v>
      </c>
      <c r="E91" s="11" t="n">
        <v>2099</v>
      </c>
      <c r="F91" s="11" t="n">
        <v>2099</v>
      </c>
      <c r="G91" s="11" t="n">
        <v>2099</v>
      </c>
      <c r="H91" s="11" t="n">
        <v>2099</v>
      </c>
      <c r="I91" s="12" t="s">
        <v>130</v>
      </c>
      <c r="J91" s="12" t="s">
        <v>131</v>
      </c>
    </row>
    <row r="92" customFormat="false" ht="15" hidden="false" customHeight="false" outlineLevel="0" collapsed="false">
      <c r="A92" s="0" t="str">
        <f aca="false">B92&amp;"|"&amp;C92&amp;"|"&amp;D92</f>
        <v>Domestic_Mining_t_LCE|Supply|Base</v>
      </c>
      <c r="B92" s="0" t="s">
        <v>125</v>
      </c>
      <c r="C92" s="0" t="s">
        <v>126</v>
      </c>
      <c r="D92" s="0" t="s">
        <v>2</v>
      </c>
      <c r="E92" s="11" t="n">
        <v>0</v>
      </c>
      <c r="F92" s="11" t="n">
        <v>0</v>
      </c>
      <c r="G92" s="11" t="n">
        <v>0</v>
      </c>
      <c r="H92" s="11" t="n">
        <v>600</v>
      </c>
      <c r="I92" s="12" t="s">
        <v>114</v>
      </c>
      <c r="J92" s="12" t="s">
        <v>127</v>
      </c>
      <c r="K92" s="12" t="s">
        <v>132</v>
      </c>
    </row>
    <row r="93" customFormat="false" ht="15" hidden="false" customHeight="false" outlineLevel="0" collapsed="false">
      <c r="A93" s="0" t="str">
        <f aca="false">B93&amp;"|"&amp;C93&amp;"|"&amp;D93</f>
        <v>Domestic_Mining_Start|Supply|Base</v>
      </c>
      <c r="B93" s="0" t="s">
        <v>129</v>
      </c>
      <c r="C93" s="0" t="s">
        <v>126</v>
      </c>
      <c r="D93" s="0" t="s">
        <v>2</v>
      </c>
      <c r="E93" s="11" t="n">
        <v>2039</v>
      </c>
      <c r="F93" s="11" t="n">
        <v>2039</v>
      </c>
      <c r="G93" s="11" t="n">
        <v>2039</v>
      </c>
      <c r="H93" s="11" t="n">
        <v>2039</v>
      </c>
      <c r="I93" s="12" t="s">
        <v>130</v>
      </c>
      <c r="J93" s="12" t="s">
        <v>131</v>
      </c>
    </row>
    <row r="94" customFormat="false" ht="15" hidden="false" customHeight="false" outlineLevel="0" collapsed="false">
      <c r="A94" s="0" t="str">
        <f aca="false">B94&amp;"|"&amp;C94&amp;"|"&amp;D94</f>
        <v>Domestic_Mining_t_LCE|Supply|High</v>
      </c>
      <c r="B94" s="0" t="s">
        <v>125</v>
      </c>
      <c r="C94" s="0" t="s">
        <v>126</v>
      </c>
      <c r="D94" s="0" t="s">
        <v>64</v>
      </c>
      <c r="E94" s="11" t="n">
        <v>0</v>
      </c>
      <c r="F94" s="11" t="n">
        <v>0</v>
      </c>
      <c r="G94" s="11" t="n">
        <v>800</v>
      </c>
      <c r="H94" s="11" t="n">
        <v>2500</v>
      </c>
      <c r="I94" s="12" t="s">
        <v>114</v>
      </c>
      <c r="J94" s="12" t="s">
        <v>127</v>
      </c>
      <c r="K94" s="12" t="s">
        <v>133</v>
      </c>
    </row>
    <row r="95" customFormat="false" ht="15" hidden="false" customHeight="false" outlineLevel="0" collapsed="false">
      <c r="A95" s="0" t="str">
        <f aca="false">B95&amp;"|"&amp;C95&amp;"|"&amp;D95</f>
        <v>Domestic_Mining_Start|Supply|High</v>
      </c>
      <c r="B95" s="0" t="s">
        <v>129</v>
      </c>
      <c r="C95" s="0" t="s">
        <v>126</v>
      </c>
      <c r="D95" s="0" t="s">
        <v>64</v>
      </c>
      <c r="E95" s="11" t="n">
        <v>2033</v>
      </c>
      <c r="F95" s="11" t="n">
        <v>2033</v>
      </c>
      <c r="G95" s="11" t="n">
        <v>2033</v>
      </c>
      <c r="H95" s="11" t="n">
        <v>2033</v>
      </c>
      <c r="I95" s="12" t="s">
        <v>130</v>
      </c>
      <c r="J95" s="12" t="s">
        <v>131</v>
      </c>
    </row>
    <row r="96" customFormat="false" ht="15" hidden="false" customHeight="false" outlineLevel="0" collapsed="false">
      <c r="A96" s="0" t="str">
        <f aca="false">B96&amp;"|"&amp;C96&amp;"|"&amp;D96</f>
        <v>Overseas_Equity_t_LCE|Supply|Low</v>
      </c>
      <c r="B96" s="0" t="s">
        <v>134</v>
      </c>
      <c r="C96" s="0" t="s">
        <v>126</v>
      </c>
      <c r="D96" s="0" t="s">
        <v>60</v>
      </c>
      <c r="E96" s="11" t="n">
        <v>0</v>
      </c>
      <c r="F96" s="11" t="n">
        <v>0</v>
      </c>
      <c r="G96" s="11" t="n">
        <v>0</v>
      </c>
      <c r="H96" s="11" t="n">
        <v>0</v>
      </c>
      <c r="I96" s="12" t="s">
        <v>114</v>
      </c>
      <c r="J96" s="12" t="s">
        <v>135</v>
      </c>
      <c r="K96" s="12" t="s">
        <v>136</v>
      </c>
    </row>
    <row r="97" customFormat="false" ht="15" hidden="false" customHeight="false" outlineLevel="0" collapsed="false">
      <c r="A97" s="0" t="str">
        <f aca="false">B97&amp;"|"&amp;C97&amp;"|"&amp;D97</f>
        <v>Overseas_Equity_Start|Supply|Low</v>
      </c>
      <c r="B97" s="0" t="s">
        <v>137</v>
      </c>
      <c r="C97" s="0" t="s">
        <v>126</v>
      </c>
      <c r="D97" s="0" t="s">
        <v>60</v>
      </c>
      <c r="E97" s="11" t="n">
        <v>2099</v>
      </c>
      <c r="F97" s="11" t="n">
        <v>2099</v>
      </c>
      <c r="G97" s="11" t="n">
        <v>2099</v>
      </c>
      <c r="H97" s="11" t="n">
        <v>2099</v>
      </c>
      <c r="I97" s="12" t="s">
        <v>130</v>
      </c>
      <c r="J97" s="12" t="s">
        <v>135</v>
      </c>
    </row>
    <row r="98" customFormat="false" ht="15" hidden="false" customHeight="false" outlineLevel="0" collapsed="false">
      <c r="A98" s="0" t="str">
        <f aca="false">B98&amp;"|"&amp;C98&amp;"|"&amp;D98</f>
        <v>Overseas_Equity_t_LCE|Supply|Base</v>
      </c>
      <c r="B98" s="0" t="s">
        <v>134</v>
      </c>
      <c r="C98" s="0" t="s">
        <v>126</v>
      </c>
      <c r="D98" s="0" t="s">
        <v>2</v>
      </c>
      <c r="E98" s="11" t="n">
        <v>0</v>
      </c>
      <c r="F98" s="11" t="n">
        <v>0</v>
      </c>
      <c r="G98" s="11" t="n">
        <v>6000</v>
      </c>
      <c r="H98" s="11" t="n">
        <v>12000</v>
      </c>
      <c r="I98" s="12" t="s">
        <v>114</v>
      </c>
      <c r="J98" s="12" t="s">
        <v>135</v>
      </c>
      <c r="K98" s="12" t="s">
        <v>136</v>
      </c>
    </row>
    <row r="99" customFormat="false" ht="15" hidden="false" customHeight="false" outlineLevel="0" collapsed="false">
      <c r="A99" s="0" t="str">
        <f aca="false">B99&amp;"|"&amp;C99&amp;"|"&amp;D99</f>
        <v>Overseas_Equity_Start|Supply|Base</v>
      </c>
      <c r="B99" s="0" t="s">
        <v>137</v>
      </c>
      <c r="C99" s="0" t="s">
        <v>126</v>
      </c>
      <c r="D99" s="0" t="s">
        <v>2</v>
      </c>
      <c r="E99" s="11" t="n">
        <v>2032</v>
      </c>
      <c r="F99" s="11" t="n">
        <v>2032</v>
      </c>
      <c r="G99" s="11" t="n">
        <v>2032</v>
      </c>
      <c r="H99" s="11" t="n">
        <v>2032</v>
      </c>
      <c r="I99" s="12" t="s">
        <v>130</v>
      </c>
      <c r="J99" s="12" t="s">
        <v>135</v>
      </c>
    </row>
    <row r="100" customFormat="false" ht="15" hidden="false" customHeight="false" outlineLevel="0" collapsed="false">
      <c r="A100" s="0" t="str">
        <f aca="false">B100&amp;"|"&amp;C100&amp;"|"&amp;D100</f>
        <v>Overseas_Equity_t_LCE|Supply|High</v>
      </c>
      <c r="B100" s="0" t="s">
        <v>134</v>
      </c>
      <c r="C100" s="0" t="s">
        <v>126</v>
      </c>
      <c r="D100" s="0" t="s">
        <v>64</v>
      </c>
      <c r="E100" s="11" t="n">
        <v>0</v>
      </c>
      <c r="F100" s="11" t="n">
        <v>0</v>
      </c>
      <c r="G100" s="11" t="n">
        <v>15000</v>
      </c>
      <c r="H100" s="11" t="n">
        <v>30000</v>
      </c>
      <c r="I100" s="12" t="s">
        <v>114</v>
      </c>
      <c r="J100" s="12" t="s">
        <v>135</v>
      </c>
      <c r="K100" s="12" t="s">
        <v>136</v>
      </c>
    </row>
    <row r="101" customFormat="false" ht="15" hidden="false" customHeight="false" outlineLevel="0" collapsed="false">
      <c r="A101" s="0" t="str">
        <f aca="false">B101&amp;"|"&amp;C101&amp;"|"&amp;D101</f>
        <v>Overseas_Equity_Start|Supply|High</v>
      </c>
      <c r="B101" s="0" t="s">
        <v>137</v>
      </c>
      <c r="C101" s="0" t="s">
        <v>126</v>
      </c>
      <c r="D101" s="0" t="s">
        <v>64</v>
      </c>
      <c r="E101" s="11" t="n">
        <v>2031</v>
      </c>
      <c r="F101" s="11" t="n">
        <v>2031</v>
      </c>
      <c r="G101" s="11" t="n">
        <v>2031</v>
      </c>
      <c r="H101" s="11" t="n">
        <v>2031</v>
      </c>
      <c r="I101" s="12" t="s">
        <v>130</v>
      </c>
      <c r="J101" s="12" t="s">
        <v>135</v>
      </c>
    </row>
    <row r="102" customFormat="false" ht="15" hidden="false" customHeight="false" outlineLevel="0" collapsed="false">
      <c r="A102" s="0" t="str">
        <f aca="false">B102&amp;"|"&amp;C102&amp;"|"&amp;D102</f>
        <v>Collection_Rate|EV_BESS|Low</v>
      </c>
      <c r="B102" s="0" t="s">
        <v>138</v>
      </c>
      <c r="C102" s="0" t="s">
        <v>139</v>
      </c>
      <c r="D102" s="0" t="s">
        <v>60</v>
      </c>
      <c r="E102" s="11" t="n">
        <v>0.2</v>
      </c>
      <c r="F102" s="11" t="n">
        <v>0.45</v>
      </c>
      <c r="G102" s="11" t="n">
        <v>0.6</v>
      </c>
      <c r="H102" s="11" t="n">
        <v>0.7</v>
      </c>
      <c r="I102" s="12" t="s">
        <v>140</v>
      </c>
      <c r="J102" s="12" t="s">
        <v>141</v>
      </c>
      <c r="K102" s="12" t="s">
        <v>142</v>
      </c>
    </row>
    <row r="103" customFormat="false" ht="15" hidden="false" customHeight="false" outlineLevel="0" collapsed="false">
      <c r="A103" s="0" t="str">
        <f aca="false">B103&amp;"|"&amp;C103&amp;"|"&amp;D103</f>
        <v>Collection_Rate|EV_BESS|Base</v>
      </c>
      <c r="B103" s="0" t="s">
        <v>138</v>
      </c>
      <c r="C103" s="0" t="s">
        <v>139</v>
      </c>
      <c r="D103" s="0" t="s">
        <v>2</v>
      </c>
      <c r="E103" s="11" t="n">
        <v>0.3</v>
      </c>
      <c r="F103" s="11" t="n">
        <v>0.7</v>
      </c>
      <c r="G103" s="11" t="n">
        <v>0.85</v>
      </c>
      <c r="H103" s="11" t="n">
        <v>0.9</v>
      </c>
      <c r="I103" s="12" t="s">
        <v>140</v>
      </c>
      <c r="J103" s="12" t="s">
        <v>141</v>
      </c>
      <c r="K103" s="12" t="s">
        <v>142</v>
      </c>
    </row>
    <row r="104" customFormat="false" ht="15" hidden="false" customHeight="false" outlineLevel="0" collapsed="false">
      <c r="A104" s="0" t="str">
        <f aca="false">B104&amp;"|"&amp;C104&amp;"|"&amp;D104</f>
        <v>Collection_Rate|EV_BESS|High</v>
      </c>
      <c r="B104" s="0" t="s">
        <v>138</v>
      </c>
      <c r="C104" s="0" t="s">
        <v>139</v>
      </c>
      <c r="D104" s="0" t="s">
        <v>64</v>
      </c>
      <c r="E104" s="11" t="n">
        <v>0.4</v>
      </c>
      <c r="F104" s="11" t="n">
        <v>0.85</v>
      </c>
      <c r="G104" s="11" t="n">
        <v>0.95</v>
      </c>
      <c r="H104" s="11" t="n">
        <v>0.95</v>
      </c>
      <c r="I104" s="12" t="s">
        <v>140</v>
      </c>
      <c r="J104" s="12" t="s">
        <v>141</v>
      </c>
      <c r="K104" s="12" t="s">
        <v>142</v>
      </c>
    </row>
    <row r="105" customFormat="false" ht="15" hidden="false" customHeight="false" outlineLevel="0" collapsed="false">
      <c r="A105" s="0" t="str">
        <f aca="false">B105&amp;"|"&amp;C105&amp;"|"&amp;D105</f>
        <v>Collection_Rate|Electronics|Low</v>
      </c>
      <c r="B105" s="0" t="s">
        <v>138</v>
      </c>
      <c r="C105" s="0" t="s">
        <v>18</v>
      </c>
      <c r="D105" s="0" t="s">
        <v>60</v>
      </c>
      <c r="E105" s="11" t="n">
        <v>0.1</v>
      </c>
      <c r="F105" s="11" t="n">
        <v>0.2</v>
      </c>
      <c r="G105" s="11" t="n">
        <v>0.35</v>
      </c>
      <c r="H105" s="11" t="n">
        <v>0.45</v>
      </c>
      <c r="I105" s="12" t="s">
        <v>140</v>
      </c>
      <c r="J105" s="12" t="s">
        <v>70</v>
      </c>
      <c r="K105" s="12" t="s">
        <v>143</v>
      </c>
    </row>
    <row r="106" customFormat="false" ht="15" hidden="false" customHeight="false" outlineLevel="0" collapsed="false">
      <c r="A106" s="0" t="str">
        <f aca="false">B106&amp;"|"&amp;C106&amp;"|"&amp;D106</f>
        <v>Collection_Rate|Electronics|Base</v>
      </c>
      <c r="B106" s="0" t="s">
        <v>138</v>
      </c>
      <c r="C106" s="0" t="s">
        <v>18</v>
      </c>
      <c r="D106" s="0" t="s">
        <v>2</v>
      </c>
      <c r="E106" s="11" t="n">
        <v>0.15</v>
      </c>
      <c r="F106" s="11" t="n">
        <v>0.35</v>
      </c>
      <c r="G106" s="11" t="n">
        <v>0.55</v>
      </c>
      <c r="H106" s="11" t="n">
        <v>0.7</v>
      </c>
      <c r="I106" s="12" t="s">
        <v>140</v>
      </c>
      <c r="J106" s="12" t="s">
        <v>70</v>
      </c>
      <c r="K106" s="12" t="s">
        <v>143</v>
      </c>
    </row>
    <row r="107" customFormat="false" ht="15" hidden="false" customHeight="false" outlineLevel="0" collapsed="false">
      <c r="A107" s="0" t="str">
        <f aca="false">B107&amp;"|"&amp;C107&amp;"|"&amp;D107</f>
        <v>Collection_Rate|Electronics|High</v>
      </c>
      <c r="B107" s="0" t="s">
        <v>138</v>
      </c>
      <c r="C107" s="0" t="s">
        <v>18</v>
      </c>
      <c r="D107" s="0" t="s">
        <v>64</v>
      </c>
      <c r="E107" s="11" t="n">
        <v>0.2</v>
      </c>
      <c r="F107" s="11" t="n">
        <v>0.5</v>
      </c>
      <c r="G107" s="11" t="n">
        <v>0.75</v>
      </c>
      <c r="H107" s="11" t="n">
        <v>0.85</v>
      </c>
      <c r="I107" s="12" t="s">
        <v>140</v>
      </c>
      <c r="J107" s="12" t="s">
        <v>70</v>
      </c>
      <c r="K107" s="12" t="s">
        <v>143</v>
      </c>
    </row>
    <row r="108" customFormat="false" ht="15" hidden="false" customHeight="false" outlineLevel="0" collapsed="false">
      <c r="A108" s="0" t="str">
        <f aca="false">B108&amp;"|"&amp;C108&amp;"|"&amp;D108</f>
        <v>Li_Recovery|Recycling|Low</v>
      </c>
      <c r="B108" s="0" t="s">
        <v>144</v>
      </c>
      <c r="C108" s="0" t="s">
        <v>24</v>
      </c>
      <c r="D108" s="0" t="s">
        <v>60</v>
      </c>
      <c r="E108" s="11" t="n">
        <v>0.7</v>
      </c>
      <c r="F108" s="11" t="n">
        <v>0.8</v>
      </c>
      <c r="G108" s="11" t="n">
        <v>0.85</v>
      </c>
      <c r="H108" s="11" t="n">
        <v>0.85</v>
      </c>
      <c r="I108" s="12" t="s">
        <v>145</v>
      </c>
      <c r="J108" s="12" t="s">
        <v>141</v>
      </c>
      <c r="K108" s="12" t="s">
        <v>146</v>
      </c>
    </row>
    <row r="109" customFormat="false" ht="15" hidden="false" customHeight="false" outlineLevel="0" collapsed="false">
      <c r="A109" s="0" t="str">
        <f aca="false">B109&amp;"|"&amp;C109&amp;"|"&amp;D109</f>
        <v>Li_Recovery|Recycling|Base</v>
      </c>
      <c r="B109" s="0" t="s">
        <v>144</v>
      </c>
      <c r="C109" s="0" t="s">
        <v>24</v>
      </c>
      <c r="D109" s="0" t="s">
        <v>2</v>
      </c>
      <c r="E109" s="11" t="n">
        <v>0.8</v>
      </c>
      <c r="F109" s="11" t="n">
        <v>0.9</v>
      </c>
      <c r="G109" s="11" t="n">
        <v>0.92</v>
      </c>
      <c r="H109" s="11" t="n">
        <v>0.92</v>
      </c>
      <c r="I109" s="12" t="s">
        <v>145</v>
      </c>
      <c r="J109" s="12" t="s">
        <v>141</v>
      </c>
      <c r="K109" s="12" t="s">
        <v>146</v>
      </c>
    </row>
    <row r="110" customFormat="false" ht="15" hidden="false" customHeight="false" outlineLevel="0" collapsed="false">
      <c r="A110" s="0" t="str">
        <f aca="false">B110&amp;"|"&amp;C110&amp;"|"&amp;D110</f>
        <v>Li_Recovery|Recycling|High</v>
      </c>
      <c r="B110" s="0" t="s">
        <v>144</v>
      </c>
      <c r="C110" s="0" t="s">
        <v>24</v>
      </c>
      <c r="D110" s="0" t="s">
        <v>64</v>
      </c>
      <c r="E110" s="11" t="n">
        <v>0.85</v>
      </c>
      <c r="F110" s="11" t="n">
        <v>0.95</v>
      </c>
      <c r="G110" s="11" t="n">
        <v>0.95</v>
      </c>
      <c r="H110" s="11" t="n">
        <v>0.95</v>
      </c>
      <c r="I110" s="12" t="s">
        <v>145</v>
      </c>
      <c r="J110" s="12" t="s">
        <v>141</v>
      </c>
      <c r="K110" s="12" t="s">
        <v>146</v>
      </c>
    </row>
    <row r="111" customFormat="false" ht="15" hidden="false" customHeight="false" outlineLevel="0" collapsed="false">
      <c r="A111" s="0" t="str">
        <f aca="false">B111&amp;"|"&amp;C111&amp;"|"&amp;D111</f>
        <v>Global_Supply_t_LCE|Supply|All</v>
      </c>
      <c r="B111" s="0" t="s">
        <v>147</v>
      </c>
      <c r="C111" s="0" t="s">
        <v>126</v>
      </c>
      <c r="D111" s="0" t="s">
        <v>47</v>
      </c>
      <c r="E111" s="11" t="n">
        <v>1544000</v>
      </c>
      <c r="F111" s="11" t="n">
        <v>2600000</v>
      </c>
      <c r="G111" s="11" t="n">
        <v>3400000</v>
      </c>
      <c r="H111" s="11" t="n">
        <v>4300000</v>
      </c>
      <c r="I111" s="12" t="s">
        <v>114</v>
      </c>
      <c r="J111" s="12" t="s">
        <v>148</v>
      </c>
      <c r="K111" s="12" t="s">
        <v>149</v>
      </c>
    </row>
    <row r="112" customFormat="false" ht="15" hidden="false" customHeight="false" outlineLevel="0" collapsed="false">
      <c r="A112" s="0" t="str">
        <f aca="false">B112&amp;"|"&amp;C112&amp;"|"&amp;D112</f>
        <v>India_Accessible_Share|Supply|All</v>
      </c>
      <c r="B112" s="0" t="s">
        <v>150</v>
      </c>
      <c r="C112" s="0" t="s">
        <v>126</v>
      </c>
      <c r="D112" s="0" t="s">
        <v>47</v>
      </c>
      <c r="E112" s="11" t="n">
        <v>0.03</v>
      </c>
      <c r="F112" s="11" t="n">
        <v>0.03</v>
      </c>
      <c r="G112" s="11" t="n">
        <v>0.03</v>
      </c>
      <c r="H112" s="11" t="n">
        <v>0.03</v>
      </c>
      <c r="I112" s="12" t="s">
        <v>151</v>
      </c>
      <c r="J112" s="12" t="s">
        <v>70</v>
      </c>
      <c r="K112" s="12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3" t="s">
        <v>35</v>
      </c>
      <c r="B1" s="13" t="s">
        <v>36</v>
      </c>
      <c r="C1" s="13" t="s">
        <v>153</v>
      </c>
      <c r="D1" s="13" t="s">
        <v>154</v>
      </c>
      <c r="E1" s="13" t="s">
        <v>155</v>
      </c>
      <c r="F1" s="13" t="s">
        <v>156</v>
      </c>
      <c r="G1" s="13" t="s">
        <v>157</v>
      </c>
      <c r="H1" s="13" t="n">
        <v>2025</v>
      </c>
      <c r="I1" s="13" t="n">
        <v>2026</v>
      </c>
      <c r="J1" s="13" t="n">
        <v>2027</v>
      </c>
      <c r="K1" s="13" t="n">
        <v>2028</v>
      </c>
      <c r="L1" s="13" t="n">
        <v>2029</v>
      </c>
      <c r="M1" s="13" t="n">
        <v>2030</v>
      </c>
      <c r="N1" s="13" t="n">
        <v>2031</v>
      </c>
      <c r="O1" s="13" t="n">
        <v>2032</v>
      </c>
      <c r="P1" s="13" t="n">
        <v>2033</v>
      </c>
      <c r="Q1" s="13" t="n">
        <v>2034</v>
      </c>
      <c r="R1" s="13" t="n">
        <v>2035</v>
      </c>
      <c r="S1" s="13" t="n">
        <v>2036</v>
      </c>
      <c r="T1" s="13" t="n">
        <v>2037</v>
      </c>
      <c r="U1" s="13" t="n">
        <v>2038</v>
      </c>
      <c r="V1" s="13" t="n">
        <v>2039</v>
      </c>
      <c r="W1" s="13" t="n">
        <v>2040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n">
        <f aca="false">IFERROR(MATCH(A2&amp;"|"&amp;B2&amp;"|"&amp;Control!$B$3,Assumptions!$A$2:$A$112,0),MATCH(A2&amp;"|"&amp;B2&amp;"|All",Assumptions!$A$2:$A$112,0))</f>
        <v>1</v>
      </c>
      <c r="D2" s="0" t="n">
        <f aca="false">INDEX(Assumptions!$E$2:$E$112,$C2)</f>
        <v>20033000</v>
      </c>
      <c r="E2" s="0" t="n">
        <f aca="false">INDEX(Assumptions!$F$2:$F$112,$C2)</f>
        <v>24373207.5937792</v>
      </c>
      <c r="F2" s="0" t="n">
        <f aca="false">INDEX(Assumptions!$G$2:$G$112,$C2)</f>
        <v>29653733.7597692</v>
      </c>
      <c r="G2" s="0" t="n">
        <f aca="false">INDEX(Assumptions!$H$2:$H$112,$C2)</f>
        <v>36078301.2458201</v>
      </c>
      <c r="H2" s="0" t="n">
        <f aca="false">IF(H$1&lt;=2030,$D2+($E2-$D2)*(H$1-2025)/5,IF(H$1&lt;=2035,$E2+($F2-$E2)*(H$1-2030)/5,$F2+($G2-$F2)*(H$1-2035)/5))</f>
        <v>20033000</v>
      </c>
      <c r="I2" s="0" t="n">
        <f aca="false">IF(I$1&lt;=2030,$D2+($E2-$D2)*(I$1-2025)/5,IF(I$1&lt;=2035,$E2+($F2-$E2)*(I$1-2030)/5,$F2+($G2-$F2)*(I$1-2035)/5))</f>
        <v>20901041.5187558</v>
      </c>
      <c r="J2" s="0" t="n">
        <f aca="false">IF(J$1&lt;=2030,$D2+($E2-$D2)*(J$1-2025)/5,IF(J$1&lt;=2035,$E2+($F2-$E2)*(J$1-2030)/5,$F2+($G2-$F2)*(J$1-2035)/5))</f>
        <v>21769083.0375117</v>
      </c>
      <c r="K2" s="0" t="n">
        <f aca="false">IF(K$1&lt;=2030,$D2+($E2-$D2)*(K$1-2025)/5,IF(K$1&lt;=2035,$E2+($F2-$E2)*(K$1-2030)/5,$F2+($G2-$F2)*(K$1-2035)/5))</f>
        <v>22637124.5562675</v>
      </c>
      <c r="L2" s="0" t="n">
        <f aca="false">IF(L$1&lt;=2030,$D2+($E2-$D2)*(L$1-2025)/5,IF(L$1&lt;=2035,$E2+($F2-$E2)*(L$1-2030)/5,$F2+($G2-$F2)*(L$1-2035)/5))</f>
        <v>23505166.0750234</v>
      </c>
      <c r="M2" s="0" t="n">
        <f aca="false">IF(M$1&lt;=2030,$D2+($E2-$D2)*(M$1-2025)/5,IF(M$1&lt;=2035,$E2+($F2-$E2)*(M$1-2030)/5,$F2+($G2-$F2)*(M$1-2035)/5))</f>
        <v>24373207.5937792</v>
      </c>
      <c r="N2" s="0" t="n">
        <f aca="false">IF(N$1&lt;=2030,$D2+($E2-$D2)*(N$1-2025)/5,IF(N$1&lt;=2035,$E2+($F2-$E2)*(N$1-2030)/5,$F2+($G2-$F2)*(N$1-2035)/5))</f>
        <v>25429312.8269772</v>
      </c>
      <c r="O2" s="0" t="n">
        <f aca="false">IF(O$1&lt;=2030,$D2+($E2-$D2)*(O$1-2025)/5,IF(O$1&lt;=2035,$E2+($F2-$E2)*(O$1-2030)/5,$F2+($G2-$F2)*(O$1-2035)/5))</f>
        <v>26485418.0601752</v>
      </c>
      <c r="P2" s="0" t="n">
        <f aca="false">IF(P$1&lt;=2030,$D2+($E2-$D2)*(P$1-2025)/5,IF(P$1&lt;=2035,$E2+($F2-$E2)*(P$1-2030)/5,$F2+($G2-$F2)*(P$1-2035)/5))</f>
        <v>27541523.2933732</v>
      </c>
      <c r="Q2" s="0" t="n">
        <f aca="false">IF(Q$1&lt;=2030,$D2+($E2-$D2)*(Q$1-2025)/5,IF(Q$1&lt;=2035,$E2+($F2-$E2)*(Q$1-2030)/5,$F2+($G2-$F2)*(Q$1-2035)/5))</f>
        <v>28597628.5265712</v>
      </c>
      <c r="R2" s="0" t="n">
        <f aca="false">IF(R$1&lt;=2030,$D2+($E2-$D2)*(R$1-2025)/5,IF(R$1&lt;=2035,$E2+($F2-$E2)*(R$1-2030)/5,$F2+($G2-$F2)*(R$1-2035)/5))</f>
        <v>29653733.7597692</v>
      </c>
      <c r="S2" s="0" t="n">
        <f aca="false">IF(S$1&lt;=2030,$D2+($E2-$D2)*(S$1-2025)/5,IF(S$1&lt;=2035,$E2+($F2-$E2)*(S$1-2030)/5,$F2+($G2-$F2)*(S$1-2035)/5))</f>
        <v>30938647.2569794</v>
      </c>
      <c r="T2" s="0" t="n">
        <f aca="false">IF(T$1&lt;=2030,$D2+($E2-$D2)*(T$1-2025)/5,IF(T$1&lt;=2035,$E2+($F2-$E2)*(T$1-2030)/5,$F2+($G2-$F2)*(T$1-2035)/5))</f>
        <v>32223560.7541895</v>
      </c>
      <c r="U2" s="0" t="n">
        <f aca="false">IF(U$1&lt;=2030,$D2+($E2-$D2)*(U$1-2025)/5,IF(U$1&lt;=2035,$E2+($F2-$E2)*(U$1-2030)/5,$F2+($G2-$F2)*(U$1-2035)/5))</f>
        <v>33508474.2513997</v>
      </c>
      <c r="V2" s="0" t="n">
        <f aca="false">IF(V$1&lt;=2030,$D2+($E2-$D2)*(V$1-2025)/5,IF(V$1&lt;=2035,$E2+($F2-$E2)*(V$1-2030)/5,$F2+($G2-$F2)*(V$1-2035)/5))</f>
        <v>34793387.7486099</v>
      </c>
      <c r="W2" s="0" t="n">
        <f aca="false">IF(W$1&lt;=2030,$D2+($E2-$D2)*(W$1-2025)/5,IF(W$1&lt;=2035,$E2+($F2-$E2)*(W$1-2030)/5,$F2+($G2-$F2)*(W$1-2035)/5))</f>
        <v>36078301.2458201</v>
      </c>
    </row>
    <row r="3" customFormat="false" ht="15" hidden="false" customHeight="false" outlineLevel="0" collapsed="false">
      <c r="A3" s="0" t="s">
        <v>45</v>
      </c>
      <c r="B3" s="0" t="s">
        <v>51</v>
      </c>
      <c r="C3" s="0" t="n">
        <f aca="false">IFERROR(MATCH(A3&amp;"|"&amp;B3&amp;"|"&amp;Control!$B$3,Assumptions!$A$2:$A$112,0),MATCH(A3&amp;"|"&amp;B3&amp;"|All",Assumptions!$A$2:$A$112,0))</f>
        <v>2</v>
      </c>
      <c r="D3" s="0" t="n">
        <f aca="false">INDEX(Assumptions!$E$2:$E$112,$C3)</f>
        <v>822000</v>
      </c>
      <c r="E3" s="0" t="n">
        <f aca="false">INDEX(Assumptions!$F$2:$F$112,$C3)</f>
        <v>952923.2890746</v>
      </c>
      <c r="F3" s="0" t="n">
        <f aca="false">INDEX(Assumptions!$G$2:$G$112,$C3)</f>
        <v>1104699.26382087</v>
      </c>
      <c r="G3" s="0" t="n">
        <f aca="false">INDEX(Assumptions!$H$2:$H$112,$C3)</f>
        <v>1280649.21644583</v>
      </c>
      <c r="H3" s="0" t="n">
        <f aca="false">IF(H$1&lt;=2030,$D3+($E3-$D3)*(H$1-2025)/5,IF(H$1&lt;=2035,$E3+($F3-$E3)*(H$1-2030)/5,$F3+($G3-$F3)*(H$1-2035)/5))</f>
        <v>822000</v>
      </c>
      <c r="I3" s="0" t="n">
        <f aca="false">IF(I$1&lt;=2030,$D3+($E3-$D3)*(I$1-2025)/5,IF(I$1&lt;=2035,$E3+($F3-$E3)*(I$1-2030)/5,$F3+($G3-$F3)*(I$1-2035)/5))</f>
        <v>848184.65781492</v>
      </c>
      <c r="J3" s="0" t="n">
        <f aca="false">IF(J$1&lt;=2030,$D3+($E3-$D3)*(J$1-2025)/5,IF(J$1&lt;=2035,$E3+($F3-$E3)*(J$1-2030)/5,$F3+($G3-$F3)*(J$1-2035)/5))</f>
        <v>874369.31562984</v>
      </c>
      <c r="K3" s="0" t="n">
        <f aca="false">IF(K$1&lt;=2030,$D3+($E3-$D3)*(K$1-2025)/5,IF(K$1&lt;=2035,$E3+($F3-$E3)*(K$1-2030)/5,$F3+($G3-$F3)*(K$1-2035)/5))</f>
        <v>900553.97344476</v>
      </c>
      <c r="L3" s="0" t="n">
        <f aca="false">IF(L$1&lt;=2030,$D3+($E3-$D3)*(L$1-2025)/5,IF(L$1&lt;=2035,$E3+($F3-$E3)*(L$1-2030)/5,$F3+($G3-$F3)*(L$1-2035)/5))</f>
        <v>926738.63125968</v>
      </c>
      <c r="M3" s="0" t="n">
        <f aca="false">IF(M$1&lt;=2030,$D3+($E3-$D3)*(M$1-2025)/5,IF(M$1&lt;=2035,$E3+($F3-$E3)*(M$1-2030)/5,$F3+($G3-$F3)*(M$1-2035)/5))</f>
        <v>952923.2890746</v>
      </c>
      <c r="N3" s="0" t="n">
        <f aca="false">IF(N$1&lt;=2030,$D3+($E3-$D3)*(N$1-2025)/5,IF(N$1&lt;=2035,$E3+($F3-$E3)*(N$1-2030)/5,$F3+($G3-$F3)*(N$1-2035)/5))</f>
        <v>983278.484023854</v>
      </c>
      <c r="O3" s="0" t="n">
        <f aca="false">IF(O$1&lt;=2030,$D3+($E3-$D3)*(O$1-2025)/5,IF(O$1&lt;=2035,$E3+($F3-$E3)*(O$1-2030)/5,$F3+($G3-$F3)*(O$1-2035)/5))</f>
        <v>1013633.67897311</v>
      </c>
      <c r="P3" s="0" t="n">
        <f aca="false">IF(P$1&lt;=2030,$D3+($E3-$D3)*(P$1-2025)/5,IF(P$1&lt;=2035,$E3+($F3-$E3)*(P$1-2030)/5,$F3+($G3-$F3)*(P$1-2035)/5))</f>
        <v>1043988.87392236</v>
      </c>
      <c r="Q3" s="0" t="n">
        <f aca="false">IF(Q$1&lt;=2030,$D3+($E3-$D3)*(Q$1-2025)/5,IF(Q$1&lt;=2035,$E3+($F3-$E3)*(Q$1-2030)/5,$F3+($G3-$F3)*(Q$1-2035)/5))</f>
        <v>1074344.06887161</v>
      </c>
      <c r="R3" s="0" t="n">
        <f aca="false">IF(R$1&lt;=2030,$D3+($E3-$D3)*(R$1-2025)/5,IF(R$1&lt;=2035,$E3+($F3-$E3)*(R$1-2030)/5,$F3+($G3-$F3)*(R$1-2035)/5))</f>
        <v>1104699.26382087</v>
      </c>
      <c r="S3" s="0" t="n">
        <f aca="false">IF(S$1&lt;=2030,$D3+($E3-$D3)*(S$1-2025)/5,IF(S$1&lt;=2035,$E3+($F3-$E3)*(S$1-2030)/5,$F3+($G3-$F3)*(S$1-2035)/5))</f>
        <v>1139889.25434586</v>
      </c>
      <c r="T3" s="0" t="n">
        <f aca="false">IF(T$1&lt;=2030,$D3+($E3-$D3)*(T$1-2025)/5,IF(T$1&lt;=2035,$E3+($F3-$E3)*(T$1-2030)/5,$F3+($G3-$F3)*(T$1-2035)/5))</f>
        <v>1175079.24487085</v>
      </c>
      <c r="U3" s="0" t="n">
        <f aca="false">IF(U$1&lt;=2030,$D3+($E3-$D3)*(U$1-2025)/5,IF(U$1&lt;=2035,$E3+($F3-$E3)*(U$1-2030)/5,$F3+($G3-$F3)*(U$1-2035)/5))</f>
        <v>1210269.23539584</v>
      </c>
      <c r="V3" s="0" t="n">
        <f aca="false">IF(V$1&lt;=2030,$D3+($E3-$D3)*(V$1-2025)/5,IF(V$1&lt;=2035,$E3+($F3-$E3)*(V$1-2030)/5,$F3+($G3-$F3)*(V$1-2035)/5))</f>
        <v>1245459.22592084</v>
      </c>
      <c r="W3" s="0" t="n">
        <f aca="false">IF(W$1&lt;=2030,$D3+($E3-$D3)*(W$1-2025)/5,IF(W$1&lt;=2035,$E3+($F3-$E3)*(W$1-2030)/5,$F3+($G3-$F3)*(W$1-2035)/5))</f>
        <v>1280649.21644583</v>
      </c>
    </row>
    <row r="4" customFormat="false" ht="15" hidden="false" customHeight="false" outlineLevel="0" collapsed="false">
      <c r="A4" s="0" t="s">
        <v>45</v>
      </c>
      <c r="B4" s="0" t="s">
        <v>53</v>
      </c>
      <c r="C4" s="0" t="n">
        <f aca="false">IFERROR(MATCH(A4&amp;"|"&amp;B4&amp;"|"&amp;Control!$B$3,Assumptions!$A$2:$A$112,0),MATCH(A4&amp;"|"&amp;B4&amp;"|All",Assumptions!$A$2:$A$112,0))</f>
        <v>3</v>
      </c>
      <c r="D4" s="0" t="n">
        <f aca="false">INDEX(Assumptions!$E$2:$E$112,$C4)</f>
        <v>616000</v>
      </c>
      <c r="E4" s="0" t="n">
        <f aca="false">INDEX(Assumptions!$F$2:$F$112,$C4)</f>
        <v>680113.7747712</v>
      </c>
      <c r="F4" s="0" t="n">
        <f aca="false">INDEX(Assumptions!$G$2:$G$112,$C4)</f>
        <v>750900.562716771</v>
      </c>
      <c r="G4" s="0" t="n">
        <f aca="false">INDEX(Assumptions!$H$2:$H$112,$C4)</f>
        <v>829054.896407664</v>
      </c>
      <c r="H4" s="0" t="n">
        <f aca="false">IF(H$1&lt;=2030,$D4+($E4-$D4)*(H$1-2025)/5,IF(H$1&lt;=2035,$E4+($F4-$E4)*(H$1-2030)/5,$F4+($G4-$F4)*(H$1-2035)/5))</f>
        <v>616000</v>
      </c>
      <c r="I4" s="0" t="n">
        <f aca="false">IF(I$1&lt;=2030,$D4+($E4-$D4)*(I$1-2025)/5,IF(I$1&lt;=2035,$E4+($F4-$E4)*(I$1-2030)/5,$F4+($G4-$F4)*(I$1-2035)/5))</f>
        <v>628822.75495424</v>
      </c>
      <c r="J4" s="0" t="n">
        <f aca="false">IF(J$1&lt;=2030,$D4+($E4-$D4)*(J$1-2025)/5,IF(J$1&lt;=2035,$E4+($F4-$E4)*(J$1-2030)/5,$F4+($G4-$F4)*(J$1-2035)/5))</f>
        <v>641645.50990848</v>
      </c>
      <c r="K4" s="0" t="n">
        <f aca="false">IF(K$1&lt;=2030,$D4+($E4-$D4)*(K$1-2025)/5,IF(K$1&lt;=2035,$E4+($F4-$E4)*(K$1-2030)/5,$F4+($G4-$F4)*(K$1-2035)/5))</f>
        <v>654468.26486272</v>
      </c>
      <c r="L4" s="0" t="n">
        <f aca="false">IF(L$1&lt;=2030,$D4+($E4-$D4)*(L$1-2025)/5,IF(L$1&lt;=2035,$E4+($F4-$E4)*(L$1-2030)/5,$F4+($G4-$F4)*(L$1-2035)/5))</f>
        <v>667291.01981696</v>
      </c>
      <c r="M4" s="0" t="n">
        <f aca="false">IF(M$1&lt;=2030,$D4+($E4-$D4)*(M$1-2025)/5,IF(M$1&lt;=2035,$E4+($F4-$E4)*(M$1-2030)/5,$F4+($G4-$F4)*(M$1-2035)/5))</f>
        <v>680113.7747712</v>
      </c>
      <c r="N4" s="0" t="n">
        <f aca="false">IF(N$1&lt;=2030,$D4+($E4-$D4)*(N$1-2025)/5,IF(N$1&lt;=2035,$E4+($F4-$E4)*(N$1-2030)/5,$F4+($G4-$F4)*(N$1-2035)/5))</f>
        <v>694271.132360314</v>
      </c>
      <c r="O4" s="0" t="n">
        <f aca="false">IF(O$1&lt;=2030,$D4+($E4-$D4)*(O$1-2025)/5,IF(O$1&lt;=2035,$E4+($F4-$E4)*(O$1-2030)/5,$F4+($G4-$F4)*(O$1-2035)/5))</f>
        <v>708428.489949428</v>
      </c>
      <c r="P4" s="0" t="n">
        <f aca="false">IF(P$1&lt;=2030,$D4+($E4-$D4)*(P$1-2025)/5,IF(P$1&lt;=2035,$E4+($F4-$E4)*(P$1-2030)/5,$F4+($G4-$F4)*(P$1-2035)/5))</f>
        <v>722585.847538542</v>
      </c>
      <c r="Q4" s="0" t="n">
        <f aca="false">IF(Q$1&lt;=2030,$D4+($E4-$D4)*(Q$1-2025)/5,IF(Q$1&lt;=2035,$E4+($F4-$E4)*(Q$1-2030)/5,$F4+($G4-$F4)*(Q$1-2035)/5))</f>
        <v>736743.205127657</v>
      </c>
      <c r="R4" s="0" t="n">
        <f aca="false">IF(R$1&lt;=2030,$D4+($E4-$D4)*(R$1-2025)/5,IF(R$1&lt;=2035,$E4+($F4-$E4)*(R$1-2030)/5,$F4+($G4-$F4)*(R$1-2035)/5))</f>
        <v>750900.562716771</v>
      </c>
      <c r="S4" s="0" t="n">
        <f aca="false">IF(S$1&lt;=2030,$D4+($E4-$D4)*(S$1-2025)/5,IF(S$1&lt;=2035,$E4+($F4-$E4)*(S$1-2030)/5,$F4+($G4-$F4)*(S$1-2035)/5))</f>
        <v>766531.429454949</v>
      </c>
      <c r="T4" s="0" t="n">
        <f aca="false">IF(T$1&lt;=2030,$D4+($E4-$D4)*(T$1-2025)/5,IF(T$1&lt;=2035,$E4+($F4-$E4)*(T$1-2030)/5,$F4+($G4-$F4)*(T$1-2035)/5))</f>
        <v>782162.296193128</v>
      </c>
      <c r="U4" s="0" t="n">
        <f aca="false">IF(U$1&lt;=2030,$D4+($E4-$D4)*(U$1-2025)/5,IF(U$1&lt;=2035,$E4+($F4-$E4)*(U$1-2030)/5,$F4+($G4-$F4)*(U$1-2035)/5))</f>
        <v>797793.162931307</v>
      </c>
      <c r="V4" s="0" t="n">
        <f aca="false">IF(V$1&lt;=2030,$D4+($E4-$D4)*(V$1-2025)/5,IF(V$1&lt;=2035,$E4+($F4-$E4)*(V$1-2030)/5,$F4+($G4-$F4)*(V$1-2035)/5))</f>
        <v>813424.029669485</v>
      </c>
      <c r="W4" s="0" t="n">
        <f aca="false">IF(W$1&lt;=2030,$D4+($E4-$D4)*(W$1-2025)/5,IF(W$1&lt;=2035,$E4+($F4-$E4)*(W$1-2030)/5,$F4+($G4-$F4)*(W$1-2035)/5))</f>
        <v>829054.896407664</v>
      </c>
    </row>
    <row r="5" customFormat="false" ht="15" hidden="false" customHeight="false" outlineLevel="0" collapsed="false">
      <c r="A5" s="0" t="s">
        <v>45</v>
      </c>
      <c r="B5" s="0" t="s">
        <v>55</v>
      </c>
      <c r="C5" s="0" t="n">
        <f aca="false">IFERROR(MATCH(A5&amp;"|"&amp;B5&amp;"|"&amp;Control!$B$3,Assumptions!$A$2:$A$112,0),MATCH(A5&amp;"|"&amp;B5&amp;"|All",Assumptions!$A$2:$A$112,0))</f>
        <v>4</v>
      </c>
      <c r="D5" s="0" t="n">
        <f aca="false">INDEX(Assumptions!$E$2:$E$112,$C5)</f>
        <v>4449000</v>
      </c>
      <c r="E5" s="0" t="n">
        <f aca="false">INDEX(Assumptions!$F$2:$F$112,$C5)</f>
        <v>5678176.6715625</v>
      </c>
      <c r="F5" s="0" t="n">
        <f aca="false">INDEX(Assumptions!$G$2:$G$112,$C5)</f>
        <v>7246952.19453284</v>
      </c>
      <c r="G5" s="0" t="n">
        <f aca="false">INDEX(Assumptions!$H$2:$H$112,$C5)</f>
        <v>9249151.47020118</v>
      </c>
      <c r="H5" s="0" t="n">
        <f aca="false">IF(H$1&lt;=2030,$D5+($E5-$D5)*(H$1-2025)/5,IF(H$1&lt;=2035,$E5+($F5-$E5)*(H$1-2030)/5,$F5+($G5-$F5)*(H$1-2035)/5))</f>
        <v>4449000</v>
      </c>
      <c r="I5" s="0" t="n">
        <f aca="false">IF(I$1&lt;=2030,$D5+($E5-$D5)*(I$1-2025)/5,IF(I$1&lt;=2035,$E5+($F5-$E5)*(I$1-2030)/5,$F5+($G5-$F5)*(I$1-2035)/5))</f>
        <v>4694835.3343125</v>
      </c>
      <c r="J5" s="0" t="n">
        <f aca="false">IF(J$1&lt;=2030,$D5+($E5-$D5)*(J$1-2025)/5,IF(J$1&lt;=2035,$E5+($F5-$E5)*(J$1-2030)/5,$F5+($G5-$F5)*(J$1-2035)/5))</f>
        <v>4940670.668625</v>
      </c>
      <c r="K5" s="0" t="n">
        <f aca="false">IF(K$1&lt;=2030,$D5+($E5-$D5)*(K$1-2025)/5,IF(K$1&lt;=2035,$E5+($F5-$E5)*(K$1-2030)/5,$F5+($G5-$F5)*(K$1-2035)/5))</f>
        <v>5186506.0029375</v>
      </c>
      <c r="L5" s="0" t="n">
        <f aca="false">IF(L$1&lt;=2030,$D5+($E5-$D5)*(L$1-2025)/5,IF(L$1&lt;=2035,$E5+($F5-$E5)*(L$1-2030)/5,$F5+($G5-$F5)*(L$1-2035)/5))</f>
        <v>5432341.33725</v>
      </c>
      <c r="M5" s="0" t="n">
        <f aca="false">IF(M$1&lt;=2030,$D5+($E5-$D5)*(M$1-2025)/5,IF(M$1&lt;=2035,$E5+($F5-$E5)*(M$1-2030)/5,$F5+($G5-$F5)*(M$1-2035)/5))</f>
        <v>5678176.6715625</v>
      </c>
      <c r="N5" s="0" t="n">
        <f aca="false">IF(N$1&lt;=2030,$D5+($E5-$D5)*(N$1-2025)/5,IF(N$1&lt;=2035,$E5+($F5-$E5)*(N$1-2030)/5,$F5+($G5-$F5)*(N$1-2035)/5))</f>
        <v>5991931.77615657</v>
      </c>
      <c r="O5" s="0" t="n">
        <f aca="false">IF(O$1&lt;=2030,$D5+($E5-$D5)*(O$1-2025)/5,IF(O$1&lt;=2035,$E5+($F5-$E5)*(O$1-2030)/5,$F5+($G5-$F5)*(O$1-2035)/5))</f>
        <v>6305686.88075064</v>
      </c>
      <c r="P5" s="0" t="n">
        <f aca="false">IF(P$1&lt;=2030,$D5+($E5-$D5)*(P$1-2025)/5,IF(P$1&lt;=2035,$E5+($F5-$E5)*(P$1-2030)/5,$F5+($G5-$F5)*(P$1-2035)/5))</f>
        <v>6619441.9853447</v>
      </c>
      <c r="Q5" s="0" t="n">
        <f aca="false">IF(Q$1&lt;=2030,$D5+($E5-$D5)*(Q$1-2025)/5,IF(Q$1&lt;=2035,$E5+($F5-$E5)*(Q$1-2030)/5,$F5+($G5-$F5)*(Q$1-2035)/5))</f>
        <v>6933197.08993877</v>
      </c>
      <c r="R5" s="0" t="n">
        <f aca="false">IF(R$1&lt;=2030,$D5+($E5-$D5)*(R$1-2025)/5,IF(R$1&lt;=2035,$E5+($F5-$E5)*(R$1-2030)/5,$F5+($G5-$F5)*(R$1-2035)/5))</f>
        <v>7246952.19453284</v>
      </c>
      <c r="S5" s="0" t="n">
        <f aca="false">IF(S$1&lt;=2030,$D5+($E5-$D5)*(S$1-2025)/5,IF(S$1&lt;=2035,$E5+($F5-$E5)*(S$1-2030)/5,$F5+($G5-$F5)*(S$1-2035)/5))</f>
        <v>7647392.04966651</v>
      </c>
      <c r="T5" s="0" t="n">
        <f aca="false">IF(T$1&lt;=2030,$D5+($E5-$D5)*(T$1-2025)/5,IF(T$1&lt;=2035,$E5+($F5-$E5)*(T$1-2030)/5,$F5+($G5-$F5)*(T$1-2035)/5))</f>
        <v>8047831.90480018</v>
      </c>
      <c r="U5" s="0" t="n">
        <f aca="false">IF(U$1&lt;=2030,$D5+($E5-$D5)*(U$1-2025)/5,IF(U$1&lt;=2035,$E5+($F5-$E5)*(U$1-2030)/5,$F5+($G5-$F5)*(U$1-2035)/5))</f>
        <v>8448271.75993384</v>
      </c>
      <c r="V5" s="0" t="n">
        <f aca="false">IF(V$1&lt;=2030,$D5+($E5-$D5)*(V$1-2025)/5,IF(V$1&lt;=2035,$E5+($F5-$E5)*(V$1-2030)/5,$F5+($G5-$F5)*(V$1-2035)/5))</f>
        <v>8848711.61506751</v>
      </c>
      <c r="W5" s="0" t="n">
        <f aca="false">IF(W$1&lt;=2030,$D5+($E5-$D5)*(W$1-2025)/5,IF(W$1&lt;=2035,$E5+($F5-$E5)*(W$1-2030)/5,$F5+($G5-$F5)*(W$1-2035)/5))</f>
        <v>9249151.47020118</v>
      </c>
    </row>
    <row r="6" customFormat="false" ht="15" hidden="false" customHeight="false" outlineLevel="0" collapsed="false">
      <c r="A6" s="0" t="s">
        <v>45</v>
      </c>
      <c r="B6" s="0" t="s">
        <v>57</v>
      </c>
      <c r="C6" s="0" t="n">
        <f aca="false">IFERROR(MATCH(A6&amp;"|"&amp;B6&amp;"|"&amp;Control!$B$3,Assumptions!$A$2:$A$112,0),MATCH(A6&amp;"|"&amp;B6&amp;"|All",Assumptions!$A$2:$A$112,0))</f>
        <v>5</v>
      </c>
      <c r="D6" s="0" t="n">
        <f aca="false">INDEX(Assumptions!$E$2:$E$112,$C6)</f>
        <v>100000</v>
      </c>
      <c r="E6" s="0" t="n">
        <f aca="false">INDEX(Assumptions!$F$2:$F$112,$C6)</f>
        <v>121665.29024</v>
      </c>
      <c r="F6" s="0" t="n">
        <f aca="false">INDEX(Assumptions!$G$2:$G$112,$C6)</f>
        <v>148024.428491834</v>
      </c>
      <c r="G6" s="0" t="n">
        <f aca="false">INDEX(Assumptions!$H$2:$H$112,$C6)</f>
        <v>180094.350550692</v>
      </c>
      <c r="H6" s="0" t="n">
        <f aca="false">IF(H$1&lt;=2030,$D6+($E6-$D6)*(H$1-2025)/5,IF(H$1&lt;=2035,$E6+($F6-$E6)*(H$1-2030)/5,$F6+($G6-$F6)*(H$1-2035)/5))</f>
        <v>100000</v>
      </c>
      <c r="I6" s="0" t="n">
        <f aca="false">IF(I$1&lt;=2030,$D6+($E6-$D6)*(I$1-2025)/5,IF(I$1&lt;=2035,$E6+($F6-$E6)*(I$1-2030)/5,$F6+($G6-$F6)*(I$1-2035)/5))</f>
        <v>104333.058048</v>
      </c>
      <c r="J6" s="0" t="n">
        <f aca="false">IF(J$1&lt;=2030,$D6+($E6-$D6)*(J$1-2025)/5,IF(J$1&lt;=2035,$E6+($F6-$E6)*(J$1-2030)/5,$F6+($G6-$F6)*(J$1-2035)/5))</f>
        <v>108666.116096</v>
      </c>
      <c r="K6" s="0" t="n">
        <f aca="false">IF(K$1&lt;=2030,$D6+($E6-$D6)*(K$1-2025)/5,IF(K$1&lt;=2035,$E6+($F6-$E6)*(K$1-2030)/5,$F6+($G6-$F6)*(K$1-2035)/5))</f>
        <v>112999.174144</v>
      </c>
      <c r="L6" s="0" t="n">
        <f aca="false">IF(L$1&lt;=2030,$D6+($E6-$D6)*(L$1-2025)/5,IF(L$1&lt;=2035,$E6+($F6-$E6)*(L$1-2030)/5,$F6+($G6-$F6)*(L$1-2035)/5))</f>
        <v>117332.232192</v>
      </c>
      <c r="M6" s="0" t="n">
        <f aca="false">IF(M$1&lt;=2030,$D6+($E6-$D6)*(M$1-2025)/5,IF(M$1&lt;=2035,$E6+($F6-$E6)*(M$1-2030)/5,$F6+($G6-$F6)*(M$1-2035)/5))</f>
        <v>121665.29024</v>
      </c>
      <c r="N6" s="0" t="n">
        <f aca="false">IF(N$1&lt;=2030,$D6+($E6-$D6)*(N$1-2025)/5,IF(N$1&lt;=2035,$E6+($F6-$E6)*(N$1-2030)/5,$F6+($G6-$F6)*(N$1-2035)/5))</f>
        <v>126937.117890367</v>
      </c>
      <c r="O6" s="0" t="n">
        <f aca="false">IF(O$1&lt;=2030,$D6+($E6-$D6)*(O$1-2025)/5,IF(O$1&lt;=2035,$E6+($F6-$E6)*(O$1-2030)/5,$F6+($G6-$F6)*(O$1-2035)/5))</f>
        <v>132208.945540734</v>
      </c>
      <c r="P6" s="0" t="n">
        <f aca="false">IF(P$1&lt;=2030,$D6+($E6-$D6)*(P$1-2025)/5,IF(P$1&lt;=2035,$E6+($F6-$E6)*(P$1-2030)/5,$F6+($G6-$F6)*(P$1-2035)/5))</f>
        <v>137480.773191101</v>
      </c>
      <c r="Q6" s="0" t="n">
        <f aca="false">IF(Q$1&lt;=2030,$D6+($E6-$D6)*(Q$1-2025)/5,IF(Q$1&lt;=2035,$E6+($F6-$E6)*(Q$1-2030)/5,$F6+($G6-$F6)*(Q$1-2035)/5))</f>
        <v>142752.600841468</v>
      </c>
      <c r="R6" s="0" t="n">
        <f aca="false">IF(R$1&lt;=2030,$D6+($E6-$D6)*(R$1-2025)/5,IF(R$1&lt;=2035,$E6+($F6-$E6)*(R$1-2030)/5,$F6+($G6-$F6)*(R$1-2035)/5))</f>
        <v>148024.428491834</v>
      </c>
      <c r="S6" s="0" t="n">
        <f aca="false">IF(S$1&lt;=2030,$D6+($E6-$D6)*(S$1-2025)/5,IF(S$1&lt;=2035,$E6+($F6-$E6)*(S$1-2030)/5,$F6+($G6-$F6)*(S$1-2035)/5))</f>
        <v>154438.412903606</v>
      </c>
      <c r="T6" s="0" t="n">
        <f aca="false">IF(T$1&lt;=2030,$D6+($E6-$D6)*(T$1-2025)/5,IF(T$1&lt;=2035,$E6+($F6-$E6)*(T$1-2030)/5,$F6+($G6-$F6)*(T$1-2035)/5))</f>
        <v>160852.397315377</v>
      </c>
      <c r="U6" s="0" t="n">
        <f aca="false">IF(U$1&lt;=2030,$D6+($E6-$D6)*(U$1-2025)/5,IF(U$1&lt;=2035,$E6+($F6-$E6)*(U$1-2030)/5,$F6+($G6-$F6)*(U$1-2035)/5))</f>
        <v>167266.381727149</v>
      </c>
      <c r="V6" s="0" t="n">
        <f aca="false">IF(V$1&lt;=2030,$D6+($E6-$D6)*(V$1-2025)/5,IF(V$1&lt;=2035,$E6+($F6-$E6)*(V$1-2030)/5,$F6+($G6-$F6)*(V$1-2035)/5))</f>
        <v>173680.36613892</v>
      </c>
      <c r="W6" s="0" t="n">
        <f aca="false">IF(W$1&lt;=2030,$D6+($E6-$D6)*(W$1-2025)/5,IF(W$1&lt;=2035,$E6+($F6-$E6)*(W$1-2030)/5,$F6+($G6-$F6)*(W$1-2035)/5))</f>
        <v>180094.350550692</v>
      </c>
    </row>
    <row r="7" customFormat="false" ht="15" hidden="false" customHeight="false" outlineLevel="0" collapsed="false">
      <c r="A7" s="0" t="s">
        <v>45</v>
      </c>
      <c r="B7" s="0" t="s">
        <v>58</v>
      </c>
      <c r="C7" s="0" t="n">
        <f aca="false">IFERROR(MATCH(A7&amp;"|"&amp;B7&amp;"|"&amp;Control!$B$3,Assumptions!$A$2:$A$112,0),MATCH(A7&amp;"|"&amp;B7&amp;"|All",Assumptions!$A$2:$A$112,0))</f>
        <v>6</v>
      </c>
      <c r="D7" s="0" t="n">
        <f aca="false">INDEX(Assumptions!$E$2:$E$112,$C7)</f>
        <v>945000</v>
      </c>
      <c r="E7" s="0" t="n">
        <f aca="false">INDEX(Assumptions!$F$2:$F$112,$C7)</f>
        <v>1206086.0765625</v>
      </c>
      <c r="F7" s="0" t="n">
        <f aca="false">INDEX(Assumptions!$G$2:$G$112,$C7)</f>
        <v>1539305.42230468</v>
      </c>
      <c r="G7" s="0" t="n">
        <f aca="false">INDEX(Assumptions!$H$2:$H$112,$C7)</f>
        <v>1964587.12954374</v>
      </c>
      <c r="H7" s="0" t="n">
        <f aca="false">IF(H$1&lt;=2030,$D7+($E7-$D7)*(H$1-2025)/5,IF(H$1&lt;=2035,$E7+($F7-$E7)*(H$1-2030)/5,$F7+($G7-$F7)*(H$1-2035)/5))</f>
        <v>945000</v>
      </c>
      <c r="I7" s="0" t="n">
        <f aca="false">IF(I$1&lt;=2030,$D7+($E7-$D7)*(I$1-2025)/5,IF(I$1&lt;=2035,$E7+($F7-$E7)*(I$1-2030)/5,$F7+($G7-$F7)*(I$1-2035)/5))</f>
        <v>997217.2153125</v>
      </c>
      <c r="J7" s="0" t="n">
        <f aca="false">IF(J$1&lt;=2030,$D7+($E7-$D7)*(J$1-2025)/5,IF(J$1&lt;=2035,$E7+($F7-$E7)*(J$1-2030)/5,$F7+($G7-$F7)*(J$1-2035)/5))</f>
        <v>1049434.430625</v>
      </c>
      <c r="K7" s="0" t="n">
        <f aca="false">IF(K$1&lt;=2030,$D7+($E7-$D7)*(K$1-2025)/5,IF(K$1&lt;=2035,$E7+($F7-$E7)*(K$1-2030)/5,$F7+($G7-$F7)*(K$1-2035)/5))</f>
        <v>1101651.6459375</v>
      </c>
      <c r="L7" s="0" t="n">
        <f aca="false">IF(L$1&lt;=2030,$D7+($E7-$D7)*(L$1-2025)/5,IF(L$1&lt;=2035,$E7+($F7-$E7)*(L$1-2030)/5,$F7+($G7-$F7)*(L$1-2035)/5))</f>
        <v>1153868.86125</v>
      </c>
      <c r="M7" s="0" t="n">
        <f aca="false">IF(M$1&lt;=2030,$D7+($E7-$D7)*(M$1-2025)/5,IF(M$1&lt;=2035,$E7+($F7-$E7)*(M$1-2030)/5,$F7+($G7-$F7)*(M$1-2035)/5))</f>
        <v>1206086.0765625</v>
      </c>
      <c r="N7" s="0" t="n">
        <f aca="false">IF(N$1&lt;=2030,$D7+($E7-$D7)*(N$1-2025)/5,IF(N$1&lt;=2035,$E7+($F7-$E7)*(N$1-2030)/5,$F7+($G7-$F7)*(N$1-2035)/5))</f>
        <v>1272729.94571094</v>
      </c>
      <c r="O7" s="0" t="n">
        <f aca="false">IF(O$1&lt;=2030,$D7+($E7-$D7)*(O$1-2025)/5,IF(O$1&lt;=2035,$E7+($F7-$E7)*(O$1-2030)/5,$F7+($G7-$F7)*(O$1-2035)/5))</f>
        <v>1339373.81485937</v>
      </c>
      <c r="P7" s="0" t="n">
        <f aca="false">IF(P$1&lt;=2030,$D7+($E7-$D7)*(P$1-2025)/5,IF(P$1&lt;=2035,$E7+($F7-$E7)*(P$1-2030)/5,$F7+($G7-$F7)*(P$1-2035)/5))</f>
        <v>1406017.68400781</v>
      </c>
      <c r="Q7" s="0" t="n">
        <f aca="false">IF(Q$1&lt;=2030,$D7+($E7-$D7)*(Q$1-2025)/5,IF(Q$1&lt;=2035,$E7+($F7-$E7)*(Q$1-2030)/5,$F7+($G7-$F7)*(Q$1-2035)/5))</f>
        <v>1472661.55315625</v>
      </c>
      <c r="R7" s="0" t="n">
        <f aca="false">IF(R$1&lt;=2030,$D7+($E7-$D7)*(R$1-2025)/5,IF(R$1&lt;=2035,$E7+($F7-$E7)*(R$1-2030)/5,$F7+($G7-$F7)*(R$1-2035)/5))</f>
        <v>1539305.42230468</v>
      </c>
      <c r="S7" s="0" t="n">
        <f aca="false">IF(S$1&lt;=2030,$D7+($E7-$D7)*(S$1-2025)/5,IF(S$1&lt;=2035,$E7+($F7-$E7)*(S$1-2030)/5,$F7+($G7-$F7)*(S$1-2035)/5))</f>
        <v>1624361.7637525</v>
      </c>
      <c r="T7" s="0" t="n">
        <f aca="false">IF(T$1&lt;=2030,$D7+($E7-$D7)*(T$1-2025)/5,IF(T$1&lt;=2035,$E7+($F7-$E7)*(T$1-2030)/5,$F7+($G7-$F7)*(T$1-2035)/5))</f>
        <v>1709418.10520031</v>
      </c>
      <c r="U7" s="0" t="n">
        <f aca="false">IF(U$1&lt;=2030,$D7+($E7-$D7)*(U$1-2025)/5,IF(U$1&lt;=2035,$E7+($F7-$E7)*(U$1-2030)/5,$F7+($G7-$F7)*(U$1-2035)/5))</f>
        <v>1794474.44664812</v>
      </c>
      <c r="V7" s="0" t="n">
        <f aca="false">IF(V$1&lt;=2030,$D7+($E7-$D7)*(V$1-2025)/5,IF(V$1&lt;=2035,$E7+($F7-$E7)*(V$1-2030)/5,$F7+($G7-$F7)*(V$1-2035)/5))</f>
        <v>1879530.78809593</v>
      </c>
      <c r="W7" s="0" t="n">
        <f aca="false">IF(W$1&lt;=2030,$D7+($E7-$D7)*(W$1-2025)/5,IF(W$1&lt;=2035,$E7+($F7-$E7)*(W$1-2030)/5,$F7+($G7-$F7)*(W$1-2035)/5))</f>
        <v>1964587.12954374</v>
      </c>
    </row>
    <row r="8" customFormat="false" ht="15" hidden="false" customHeight="false" outlineLevel="0" collapsed="false">
      <c r="A8" s="0" t="s">
        <v>59</v>
      </c>
      <c r="B8" s="0" t="s">
        <v>46</v>
      </c>
      <c r="C8" s="0" t="n">
        <f aca="false">IFERROR(MATCH(A8&amp;"|"&amp;B8&amp;"|"&amp;Control!$B$3,Assumptions!$A$2:$A$112,0),MATCH(A8&amp;"|"&amp;B8&amp;"|All",Assumptions!$A$2:$A$112,0))</f>
        <v>8</v>
      </c>
      <c r="D8" s="0" t="n">
        <f aca="false">INDEX(Assumptions!$E$2:$E$112,$C8)</f>
        <v>0.078</v>
      </c>
      <c r="E8" s="0" t="n">
        <f aca="false">INDEX(Assumptions!$F$2:$F$112,$C8)</f>
        <v>0.3</v>
      </c>
      <c r="F8" s="0" t="n">
        <f aca="false">INDEX(Assumptions!$G$2:$G$112,$C8)</f>
        <v>0.55</v>
      </c>
      <c r="G8" s="0" t="n">
        <f aca="false">INDEX(Assumptions!$H$2:$H$112,$C8)</f>
        <v>0.75</v>
      </c>
      <c r="H8" s="0" t="n">
        <f aca="false">IF(H$1&lt;=2030,$D8+($E8-$D8)*(H$1-2025)/5,IF(H$1&lt;=2035,$E8+($F8-$E8)*(H$1-2030)/5,$F8+($G8-$F8)*(H$1-2035)/5))</f>
        <v>0.078</v>
      </c>
      <c r="I8" s="0" t="n">
        <f aca="false">IF(I$1&lt;=2030,$D8+($E8-$D8)*(I$1-2025)/5,IF(I$1&lt;=2035,$E8+($F8-$E8)*(I$1-2030)/5,$F8+($G8-$F8)*(I$1-2035)/5))</f>
        <v>0.1224</v>
      </c>
      <c r="J8" s="0" t="n">
        <f aca="false">IF(J$1&lt;=2030,$D8+($E8-$D8)*(J$1-2025)/5,IF(J$1&lt;=2035,$E8+($F8-$E8)*(J$1-2030)/5,$F8+($G8-$F8)*(J$1-2035)/5))</f>
        <v>0.1668</v>
      </c>
      <c r="K8" s="0" t="n">
        <f aca="false">IF(K$1&lt;=2030,$D8+($E8-$D8)*(K$1-2025)/5,IF(K$1&lt;=2035,$E8+($F8-$E8)*(K$1-2030)/5,$F8+($G8-$F8)*(K$1-2035)/5))</f>
        <v>0.2112</v>
      </c>
      <c r="L8" s="0" t="n">
        <f aca="false">IF(L$1&lt;=2030,$D8+($E8-$D8)*(L$1-2025)/5,IF(L$1&lt;=2035,$E8+($F8-$E8)*(L$1-2030)/5,$F8+($G8-$F8)*(L$1-2035)/5))</f>
        <v>0.2556</v>
      </c>
      <c r="M8" s="0" t="n">
        <f aca="false">IF(M$1&lt;=2030,$D8+($E8-$D8)*(M$1-2025)/5,IF(M$1&lt;=2035,$E8+($F8-$E8)*(M$1-2030)/5,$F8+($G8-$F8)*(M$1-2035)/5))</f>
        <v>0.3</v>
      </c>
      <c r="N8" s="0" t="n">
        <f aca="false">IF(N$1&lt;=2030,$D8+($E8-$D8)*(N$1-2025)/5,IF(N$1&lt;=2035,$E8+($F8-$E8)*(N$1-2030)/5,$F8+($G8-$F8)*(N$1-2035)/5))</f>
        <v>0.35</v>
      </c>
      <c r="O8" s="0" t="n">
        <f aca="false">IF(O$1&lt;=2030,$D8+($E8-$D8)*(O$1-2025)/5,IF(O$1&lt;=2035,$E8+($F8-$E8)*(O$1-2030)/5,$F8+($G8-$F8)*(O$1-2035)/5))</f>
        <v>0.4</v>
      </c>
      <c r="P8" s="0" t="n">
        <f aca="false">IF(P$1&lt;=2030,$D8+($E8-$D8)*(P$1-2025)/5,IF(P$1&lt;=2035,$E8+($F8-$E8)*(P$1-2030)/5,$F8+($G8-$F8)*(P$1-2035)/5))</f>
        <v>0.45</v>
      </c>
      <c r="Q8" s="0" t="n">
        <f aca="false">IF(Q$1&lt;=2030,$D8+($E8-$D8)*(Q$1-2025)/5,IF(Q$1&lt;=2035,$E8+($F8-$E8)*(Q$1-2030)/5,$F8+($G8-$F8)*(Q$1-2035)/5))</f>
        <v>0.5</v>
      </c>
      <c r="R8" s="0" t="n">
        <f aca="false">IF(R$1&lt;=2030,$D8+($E8-$D8)*(R$1-2025)/5,IF(R$1&lt;=2035,$E8+($F8-$E8)*(R$1-2030)/5,$F8+($G8-$F8)*(R$1-2035)/5))</f>
        <v>0.55</v>
      </c>
      <c r="S8" s="0" t="n">
        <f aca="false">IF(S$1&lt;=2030,$D8+($E8-$D8)*(S$1-2025)/5,IF(S$1&lt;=2035,$E8+($F8-$E8)*(S$1-2030)/5,$F8+($G8-$F8)*(S$1-2035)/5))</f>
        <v>0.59</v>
      </c>
      <c r="T8" s="0" t="n">
        <f aca="false">IF(T$1&lt;=2030,$D8+($E8-$D8)*(T$1-2025)/5,IF(T$1&lt;=2035,$E8+($F8-$E8)*(T$1-2030)/5,$F8+($G8-$F8)*(T$1-2035)/5))</f>
        <v>0.63</v>
      </c>
      <c r="U8" s="0" t="n">
        <f aca="false">IF(U$1&lt;=2030,$D8+($E8-$D8)*(U$1-2025)/5,IF(U$1&lt;=2035,$E8+($F8-$E8)*(U$1-2030)/5,$F8+($G8-$F8)*(U$1-2035)/5))</f>
        <v>0.67</v>
      </c>
      <c r="V8" s="0" t="n">
        <f aca="false">IF(V$1&lt;=2030,$D8+($E8-$D8)*(V$1-2025)/5,IF(V$1&lt;=2035,$E8+($F8-$E8)*(V$1-2030)/5,$F8+($G8-$F8)*(V$1-2035)/5))</f>
        <v>0.71</v>
      </c>
      <c r="W8" s="0" t="n">
        <f aca="false">IF(W$1&lt;=2030,$D8+($E8-$D8)*(W$1-2025)/5,IF(W$1&lt;=2035,$E8+($F8-$E8)*(W$1-2030)/5,$F8+($G8-$F8)*(W$1-2035)/5))</f>
        <v>0.75</v>
      </c>
    </row>
    <row r="9" customFormat="false" ht="15" hidden="false" customHeight="false" outlineLevel="0" collapsed="false">
      <c r="A9" s="0" t="s">
        <v>59</v>
      </c>
      <c r="B9" s="0" t="s">
        <v>51</v>
      </c>
      <c r="C9" s="0" t="n">
        <f aca="false">IFERROR(MATCH(A9&amp;"|"&amp;B9&amp;"|"&amp;Control!$B$3,Assumptions!$A$2:$A$112,0),MATCH(A9&amp;"|"&amp;B9&amp;"|All",Assumptions!$A$2:$A$112,0))</f>
        <v>11</v>
      </c>
      <c r="D9" s="0" t="n">
        <f aca="false">INDEX(Assumptions!$E$2:$E$112,$C9)</f>
        <v>0.25</v>
      </c>
      <c r="E9" s="0" t="n">
        <f aca="false">INDEX(Assumptions!$F$2:$F$112,$C9)</f>
        <v>0.55</v>
      </c>
      <c r="F9" s="0" t="n">
        <f aca="false">INDEX(Assumptions!$G$2:$G$112,$C9)</f>
        <v>0.75</v>
      </c>
      <c r="G9" s="0" t="n">
        <f aca="false">INDEX(Assumptions!$H$2:$H$112,$C9)</f>
        <v>0.9</v>
      </c>
      <c r="H9" s="0" t="n">
        <f aca="false">IF(H$1&lt;=2030,$D9+($E9-$D9)*(H$1-2025)/5,IF(H$1&lt;=2035,$E9+($F9-$E9)*(H$1-2030)/5,$F9+($G9-$F9)*(H$1-2035)/5))</f>
        <v>0.25</v>
      </c>
      <c r="I9" s="0" t="n">
        <f aca="false">IF(I$1&lt;=2030,$D9+($E9-$D9)*(I$1-2025)/5,IF(I$1&lt;=2035,$E9+($F9-$E9)*(I$1-2030)/5,$F9+($G9-$F9)*(I$1-2035)/5))</f>
        <v>0.31</v>
      </c>
      <c r="J9" s="0" t="n">
        <f aca="false">IF(J$1&lt;=2030,$D9+($E9-$D9)*(J$1-2025)/5,IF(J$1&lt;=2035,$E9+($F9-$E9)*(J$1-2030)/5,$F9+($G9-$F9)*(J$1-2035)/5))</f>
        <v>0.37</v>
      </c>
      <c r="K9" s="0" t="n">
        <f aca="false">IF(K$1&lt;=2030,$D9+($E9-$D9)*(K$1-2025)/5,IF(K$1&lt;=2035,$E9+($F9-$E9)*(K$1-2030)/5,$F9+($G9-$F9)*(K$1-2035)/5))</f>
        <v>0.43</v>
      </c>
      <c r="L9" s="0" t="n">
        <f aca="false">IF(L$1&lt;=2030,$D9+($E9-$D9)*(L$1-2025)/5,IF(L$1&lt;=2035,$E9+($F9-$E9)*(L$1-2030)/5,$F9+($G9-$F9)*(L$1-2035)/5))</f>
        <v>0.49</v>
      </c>
      <c r="M9" s="0" t="n">
        <f aca="false">IF(M$1&lt;=2030,$D9+($E9-$D9)*(M$1-2025)/5,IF(M$1&lt;=2035,$E9+($F9-$E9)*(M$1-2030)/5,$F9+($G9-$F9)*(M$1-2035)/5))</f>
        <v>0.55</v>
      </c>
      <c r="N9" s="0" t="n">
        <f aca="false">IF(N$1&lt;=2030,$D9+($E9-$D9)*(N$1-2025)/5,IF(N$1&lt;=2035,$E9+($F9-$E9)*(N$1-2030)/5,$F9+($G9-$F9)*(N$1-2035)/5))</f>
        <v>0.59</v>
      </c>
      <c r="O9" s="0" t="n">
        <f aca="false">IF(O$1&lt;=2030,$D9+($E9-$D9)*(O$1-2025)/5,IF(O$1&lt;=2035,$E9+($F9-$E9)*(O$1-2030)/5,$F9+($G9-$F9)*(O$1-2035)/5))</f>
        <v>0.63</v>
      </c>
      <c r="P9" s="0" t="n">
        <f aca="false">IF(P$1&lt;=2030,$D9+($E9-$D9)*(P$1-2025)/5,IF(P$1&lt;=2035,$E9+($F9-$E9)*(P$1-2030)/5,$F9+($G9-$F9)*(P$1-2035)/5))</f>
        <v>0.67</v>
      </c>
      <c r="Q9" s="0" t="n">
        <f aca="false">IF(Q$1&lt;=2030,$D9+($E9-$D9)*(Q$1-2025)/5,IF(Q$1&lt;=2035,$E9+($F9-$E9)*(Q$1-2030)/5,$F9+($G9-$F9)*(Q$1-2035)/5))</f>
        <v>0.71</v>
      </c>
      <c r="R9" s="0" t="n">
        <f aca="false">IF(R$1&lt;=2030,$D9+($E9-$D9)*(R$1-2025)/5,IF(R$1&lt;=2035,$E9+($F9-$E9)*(R$1-2030)/5,$F9+($G9-$F9)*(R$1-2035)/5))</f>
        <v>0.75</v>
      </c>
      <c r="S9" s="0" t="n">
        <f aca="false">IF(S$1&lt;=2030,$D9+($E9-$D9)*(S$1-2025)/5,IF(S$1&lt;=2035,$E9+($F9-$E9)*(S$1-2030)/5,$F9+($G9-$F9)*(S$1-2035)/5))</f>
        <v>0.78</v>
      </c>
      <c r="T9" s="0" t="n">
        <f aca="false">IF(T$1&lt;=2030,$D9+($E9-$D9)*(T$1-2025)/5,IF(T$1&lt;=2035,$E9+($F9-$E9)*(T$1-2030)/5,$F9+($G9-$F9)*(T$1-2035)/5))</f>
        <v>0.81</v>
      </c>
      <c r="U9" s="0" t="n">
        <f aca="false">IF(U$1&lt;=2030,$D9+($E9-$D9)*(U$1-2025)/5,IF(U$1&lt;=2035,$E9+($F9-$E9)*(U$1-2030)/5,$F9+($G9-$F9)*(U$1-2035)/5))</f>
        <v>0.84</v>
      </c>
      <c r="V9" s="0" t="n">
        <f aca="false">IF(V$1&lt;=2030,$D9+($E9-$D9)*(V$1-2025)/5,IF(V$1&lt;=2035,$E9+($F9-$E9)*(V$1-2030)/5,$F9+($G9-$F9)*(V$1-2035)/5))</f>
        <v>0.87</v>
      </c>
      <c r="W9" s="0" t="n">
        <f aca="false">IF(W$1&lt;=2030,$D9+($E9-$D9)*(W$1-2025)/5,IF(W$1&lt;=2035,$E9+($F9-$E9)*(W$1-2030)/5,$F9+($G9-$F9)*(W$1-2035)/5))</f>
        <v>0.9</v>
      </c>
    </row>
    <row r="10" customFormat="false" ht="15" hidden="false" customHeight="false" outlineLevel="0" collapsed="false">
      <c r="A10" s="0" t="s">
        <v>59</v>
      </c>
      <c r="B10" s="0" t="s">
        <v>53</v>
      </c>
      <c r="C10" s="0" t="n">
        <f aca="false">IFERROR(MATCH(A10&amp;"|"&amp;B10&amp;"|"&amp;Control!$B$3,Assumptions!$A$2:$A$112,0),MATCH(A10&amp;"|"&amp;B10&amp;"|All",Assumptions!$A$2:$A$112,0))</f>
        <v>14</v>
      </c>
      <c r="D10" s="0" t="n">
        <f aca="false">INDEX(Assumptions!$E$2:$E$112,$C10)</f>
        <v>1</v>
      </c>
      <c r="E10" s="0" t="n">
        <f aca="false">INDEX(Assumptions!$F$2:$F$112,$C10)</f>
        <v>1</v>
      </c>
      <c r="F10" s="0" t="n">
        <f aca="false">INDEX(Assumptions!$G$2:$G$112,$C10)</f>
        <v>1</v>
      </c>
      <c r="G10" s="0" t="n">
        <f aca="false">INDEX(Assumptions!$H$2:$H$112,$C10)</f>
        <v>1</v>
      </c>
      <c r="H10" s="0" t="n">
        <f aca="false">IF(H$1&lt;=2030,$D10+($E10-$D10)*(H$1-2025)/5,IF(H$1&lt;=2035,$E10+($F10-$E10)*(H$1-2030)/5,$F10+($G10-$F10)*(H$1-2035)/5))</f>
        <v>1</v>
      </c>
      <c r="I10" s="0" t="n">
        <f aca="false">IF(I$1&lt;=2030,$D10+($E10-$D10)*(I$1-2025)/5,IF(I$1&lt;=2035,$E10+($F10-$E10)*(I$1-2030)/5,$F10+($G10-$F10)*(I$1-2035)/5))</f>
        <v>1</v>
      </c>
      <c r="J10" s="0" t="n">
        <f aca="false">IF(J$1&lt;=2030,$D10+($E10-$D10)*(J$1-2025)/5,IF(J$1&lt;=2035,$E10+($F10-$E10)*(J$1-2030)/5,$F10+($G10-$F10)*(J$1-2035)/5))</f>
        <v>1</v>
      </c>
      <c r="K10" s="0" t="n">
        <f aca="false">IF(K$1&lt;=2030,$D10+($E10-$D10)*(K$1-2025)/5,IF(K$1&lt;=2035,$E10+($F10-$E10)*(K$1-2030)/5,$F10+($G10-$F10)*(K$1-2035)/5))</f>
        <v>1</v>
      </c>
      <c r="L10" s="0" t="n">
        <f aca="false">IF(L$1&lt;=2030,$D10+($E10-$D10)*(L$1-2025)/5,IF(L$1&lt;=2035,$E10+($F10-$E10)*(L$1-2030)/5,$F10+($G10-$F10)*(L$1-2035)/5))</f>
        <v>1</v>
      </c>
      <c r="M10" s="0" t="n">
        <f aca="false">IF(M$1&lt;=2030,$D10+($E10-$D10)*(M$1-2025)/5,IF(M$1&lt;=2035,$E10+($F10-$E10)*(M$1-2030)/5,$F10+($G10-$F10)*(M$1-2035)/5))</f>
        <v>1</v>
      </c>
      <c r="N10" s="0" t="n">
        <f aca="false">IF(N$1&lt;=2030,$D10+($E10-$D10)*(N$1-2025)/5,IF(N$1&lt;=2035,$E10+($F10-$E10)*(N$1-2030)/5,$F10+($G10-$F10)*(N$1-2035)/5))</f>
        <v>1</v>
      </c>
      <c r="O10" s="0" t="n">
        <f aca="false">IF(O$1&lt;=2030,$D10+($E10-$D10)*(O$1-2025)/5,IF(O$1&lt;=2035,$E10+($F10-$E10)*(O$1-2030)/5,$F10+($G10-$F10)*(O$1-2035)/5))</f>
        <v>1</v>
      </c>
      <c r="P10" s="0" t="n">
        <f aca="false">IF(P$1&lt;=2030,$D10+($E10-$D10)*(P$1-2025)/5,IF(P$1&lt;=2035,$E10+($F10-$E10)*(P$1-2030)/5,$F10+($G10-$F10)*(P$1-2035)/5))</f>
        <v>1</v>
      </c>
      <c r="Q10" s="0" t="n">
        <f aca="false">IF(Q$1&lt;=2030,$D10+($E10-$D10)*(Q$1-2025)/5,IF(Q$1&lt;=2035,$E10+($F10-$E10)*(Q$1-2030)/5,$F10+($G10-$F10)*(Q$1-2035)/5))</f>
        <v>1</v>
      </c>
      <c r="R10" s="0" t="n">
        <f aca="false">IF(R$1&lt;=2030,$D10+($E10-$D10)*(R$1-2025)/5,IF(R$1&lt;=2035,$E10+($F10-$E10)*(R$1-2030)/5,$F10+($G10-$F10)*(R$1-2035)/5))</f>
        <v>1</v>
      </c>
      <c r="S10" s="0" t="n">
        <f aca="false">IF(S$1&lt;=2030,$D10+($E10-$D10)*(S$1-2025)/5,IF(S$1&lt;=2035,$E10+($F10-$E10)*(S$1-2030)/5,$F10+($G10-$F10)*(S$1-2035)/5))</f>
        <v>1</v>
      </c>
      <c r="T10" s="0" t="n">
        <f aca="false">IF(T$1&lt;=2030,$D10+($E10-$D10)*(T$1-2025)/5,IF(T$1&lt;=2035,$E10+($F10-$E10)*(T$1-2030)/5,$F10+($G10-$F10)*(T$1-2035)/5))</f>
        <v>1</v>
      </c>
      <c r="U10" s="0" t="n">
        <f aca="false">IF(U$1&lt;=2030,$D10+($E10-$D10)*(U$1-2025)/5,IF(U$1&lt;=2035,$E10+($F10-$E10)*(U$1-2030)/5,$F10+($G10-$F10)*(U$1-2035)/5))</f>
        <v>1</v>
      </c>
      <c r="V10" s="0" t="n">
        <f aca="false">IF(V$1&lt;=2030,$D10+($E10-$D10)*(V$1-2025)/5,IF(V$1&lt;=2035,$E10+($F10-$E10)*(V$1-2030)/5,$F10+($G10-$F10)*(V$1-2035)/5))</f>
        <v>1</v>
      </c>
      <c r="W10" s="0" t="n">
        <f aca="false">IF(W$1&lt;=2030,$D10+($E10-$D10)*(W$1-2025)/5,IF(W$1&lt;=2035,$E10+($F10-$E10)*(W$1-2030)/5,$F10+($G10-$F10)*(W$1-2035)/5))</f>
        <v>1</v>
      </c>
    </row>
    <row r="11" customFormat="false" ht="15" hidden="false" customHeight="false" outlineLevel="0" collapsed="false">
      <c r="A11" s="0" t="s">
        <v>59</v>
      </c>
      <c r="B11" s="0" t="s">
        <v>55</v>
      </c>
      <c r="C11" s="0" t="n">
        <f aca="false">IFERROR(MATCH(A11&amp;"|"&amp;B11&amp;"|"&amp;Control!$B$3,Assumptions!$A$2:$A$112,0),MATCH(A11&amp;"|"&amp;B11&amp;"|All",Assumptions!$A$2:$A$112,0))</f>
        <v>17</v>
      </c>
      <c r="D11" s="0" t="n">
        <f aca="false">INDEX(Assumptions!$E$2:$E$112,$C11)</f>
        <v>0.045</v>
      </c>
      <c r="E11" s="0" t="n">
        <f aca="false">INDEX(Assumptions!$F$2:$F$112,$C11)</f>
        <v>0.13</v>
      </c>
      <c r="F11" s="0" t="n">
        <f aca="false">INDEX(Assumptions!$G$2:$G$112,$C11)</f>
        <v>0.28</v>
      </c>
      <c r="G11" s="0" t="n">
        <f aca="false">INDEX(Assumptions!$H$2:$H$112,$C11)</f>
        <v>0.45</v>
      </c>
      <c r="H11" s="0" t="n">
        <f aca="false">IF(H$1&lt;=2030,$D11+($E11-$D11)*(H$1-2025)/5,IF(H$1&lt;=2035,$E11+($F11-$E11)*(H$1-2030)/5,$F11+($G11-$F11)*(H$1-2035)/5))</f>
        <v>0.045</v>
      </c>
      <c r="I11" s="0" t="n">
        <f aca="false">IF(I$1&lt;=2030,$D11+($E11-$D11)*(I$1-2025)/5,IF(I$1&lt;=2035,$E11+($F11-$E11)*(I$1-2030)/5,$F11+($G11-$F11)*(I$1-2035)/5))</f>
        <v>0.062</v>
      </c>
      <c r="J11" s="0" t="n">
        <f aca="false">IF(J$1&lt;=2030,$D11+($E11-$D11)*(J$1-2025)/5,IF(J$1&lt;=2035,$E11+($F11-$E11)*(J$1-2030)/5,$F11+($G11-$F11)*(J$1-2035)/5))</f>
        <v>0.079</v>
      </c>
      <c r="K11" s="0" t="n">
        <f aca="false">IF(K$1&lt;=2030,$D11+($E11-$D11)*(K$1-2025)/5,IF(K$1&lt;=2035,$E11+($F11-$E11)*(K$1-2030)/5,$F11+($G11-$F11)*(K$1-2035)/5))</f>
        <v>0.096</v>
      </c>
      <c r="L11" s="0" t="n">
        <f aca="false">IF(L$1&lt;=2030,$D11+($E11-$D11)*(L$1-2025)/5,IF(L$1&lt;=2035,$E11+($F11-$E11)*(L$1-2030)/5,$F11+($G11-$F11)*(L$1-2035)/5))</f>
        <v>0.113</v>
      </c>
      <c r="M11" s="0" t="n">
        <f aca="false">IF(M$1&lt;=2030,$D11+($E11-$D11)*(M$1-2025)/5,IF(M$1&lt;=2035,$E11+($F11-$E11)*(M$1-2030)/5,$F11+($G11-$F11)*(M$1-2035)/5))</f>
        <v>0.13</v>
      </c>
      <c r="N11" s="0" t="n">
        <f aca="false">IF(N$1&lt;=2030,$D11+($E11-$D11)*(N$1-2025)/5,IF(N$1&lt;=2035,$E11+($F11-$E11)*(N$1-2030)/5,$F11+($G11-$F11)*(N$1-2035)/5))</f>
        <v>0.16</v>
      </c>
      <c r="O11" s="0" t="n">
        <f aca="false">IF(O$1&lt;=2030,$D11+($E11-$D11)*(O$1-2025)/5,IF(O$1&lt;=2035,$E11+($F11-$E11)*(O$1-2030)/5,$F11+($G11-$F11)*(O$1-2035)/5))</f>
        <v>0.19</v>
      </c>
      <c r="P11" s="0" t="n">
        <f aca="false">IF(P$1&lt;=2030,$D11+($E11-$D11)*(P$1-2025)/5,IF(P$1&lt;=2035,$E11+($F11-$E11)*(P$1-2030)/5,$F11+($G11-$F11)*(P$1-2035)/5))</f>
        <v>0.22</v>
      </c>
      <c r="Q11" s="0" t="n">
        <f aca="false">IF(Q$1&lt;=2030,$D11+($E11-$D11)*(Q$1-2025)/5,IF(Q$1&lt;=2035,$E11+($F11-$E11)*(Q$1-2030)/5,$F11+($G11-$F11)*(Q$1-2035)/5))</f>
        <v>0.25</v>
      </c>
      <c r="R11" s="0" t="n">
        <f aca="false">IF(R$1&lt;=2030,$D11+($E11-$D11)*(R$1-2025)/5,IF(R$1&lt;=2035,$E11+($F11-$E11)*(R$1-2030)/5,$F11+($G11-$F11)*(R$1-2035)/5))</f>
        <v>0.28</v>
      </c>
      <c r="S11" s="0" t="n">
        <f aca="false">IF(S$1&lt;=2030,$D11+($E11-$D11)*(S$1-2025)/5,IF(S$1&lt;=2035,$E11+($F11-$E11)*(S$1-2030)/5,$F11+($G11-$F11)*(S$1-2035)/5))</f>
        <v>0.314</v>
      </c>
      <c r="T11" s="0" t="n">
        <f aca="false">IF(T$1&lt;=2030,$D11+($E11-$D11)*(T$1-2025)/5,IF(T$1&lt;=2035,$E11+($F11-$E11)*(T$1-2030)/5,$F11+($G11-$F11)*(T$1-2035)/5))</f>
        <v>0.348</v>
      </c>
      <c r="U11" s="0" t="n">
        <f aca="false">IF(U$1&lt;=2030,$D11+($E11-$D11)*(U$1-2025)/5,IF(U$1&lt;=2035,$E11+($F11-$E11)*(U$1-2030)/5,$F11+($G11-$F11)*(U$1-2035)/5))</f>
        <v>0.382</v>
      </c>
      <c r="V11" s="0" t="n">
        <f aca="false">IF(V$1&lt;=2030,$D11+($E11-$D11)*(V$1-2025)/5,IF(V$1&lt;=2035,$E11+($F11-$E11)*(V$1-2030)/5,$F11+($G11-$F11)*(V$1-2035)/5))</f>
        <v>0.416</v>
      </c>
      <c r="W11" s="0" t="n">
        <f aca="false">IF(W$1&lt;=2030,$D11+($E11-$D11)*(W$1-2025)/5,IF(W$1&lt;=2035,$E11+($F11-$E11)*(W$1-2030)/5,$F11+($G11-$F11)*(W$1-2035)/5))</f>
        <v>0.45</v>
      </c>
    </row>
    <row r="12" customFormat="false" ht="15" hidden="false" customHeight="false" outlineLevel="0" collapsed="false">
      <c r="A12" s="0" t="s">
        <v>59</v>
      </c>
      <c r="B12" s="0" t="s">
        <v>57</v>
      </c>
      <c r="C12" s="0" t="n">
        <f aca="false">IFERROR(MATCH(A12&amp;"|"&amp;B12&amp;"|"&amp;Control!$B$3,Assumptions!$A$2:$A$112,0),MATCH(A12&amp;"|"&amp;B12&amp;"|All",Assumptions!$A$2:$A$112,0))</f>
        <v>20</v>
      </c>
      <c r="D12" s="0" t="n">
        <f aca="false">INDEX(Assumptions!$E$2:$E$112,$C12)</f>
        <v>0.052</v>
      </c>
      <c r="E12" s="0" t="n">
        <f aca="false">INDEX(Assumptions!$F$2:$F$112,$C12)</f>
        <v>0.25</v>
      </c>
      <c r="F12" s="0" t="n">
        <f aca="false">INDEX(Assumptions!$G$2:$G$112,$C12)</f>
        <v>0.5</v>
      </c>
      <c r="G12" s="0" t="n">
        <f aca="false">INDEX(Assumptions!$H$2:$H$112,$C12)</f>
        <v>0.75</v>
      </c>
      <c r="H12" s="0" t="n">
        <f aca="false">IF(H$1&lt;=2030,$D12+($E12-$D12)*(H$1-2025)/5,IF(H$1&lt;=2035,$E12+($F12-$E12)*(H$1-2030)/5,$F12+($G12-$F12)*(H$1-2035)/5))</f>
        <v>0.052</v>
      </c>
      <c r="I12" s="0" t="n">
        <f aca="false">IF(I$1&lt;=2030,$D12+($E12-$D12)*(I$1-2025)/5,IF(I$1&lt;=2035,$E12+($F12-$E12)*(I$1-2030)/5,$F12+($G12-$F12)*(I$1-2035)/5))</f>
        <v>0.0916</v>
      </c>
      <c r="J12" s="0" t="n">
        <f aca="false">IF(J$1&lt;=2030,$D12+($E12-$D12)*(J$1-2025)/5,IF(J$1&lt;=2035,$E12+($F12-$E12)*(J$1-2030)/5,$F12+($G12-$F12)*(J$1-2035)/5))</f>
        <v>0.1312</v>
      </c>
      <c r="K12" s="0" t="n">
        <f aca="false">IF(K$1&lt;=2030,$D12+($E12-$D12)*(K$1-2025)/5,IF(K$1&lt;=2035,$E12+($F12-$E12)*(K$1-2030)/5,$F12+($G12-$F12)*(K$1-2035)/5))</f>
        <v>0.1708</v>
      </c>
      <c r="L12" s="0" t="n">
        <f aca="false">IF(L$1&lt;=2030,$D12+($E12-$D12)*(L$1-2025)/5,IF(L$1&lt;=2035,$E12+($F12-$E12)*(L$1-2030)/5,$F12+($G12-$F12)*(L$1-2035)/5))</f>
        <v>0.2104</v>
      </c>
      <c r="M12" s="0" t="n">
        <f aca="false">IF(M$1&lt;=2030,$D12+($E12-$D12)*(M$1-2025)/5,IF(M$1&lt;=2035,$E12+($F12-$E12)*(M$1-2030)/5,$F12+($G12-$F12)*(M$1-2035)/5))</f>
        <v>0.25</v>
      </c>
      <c r="N12" s="0" t="n">
        <f aca="false">IF(N$1&lt;=2030,$D12+($E12-$D12)*(N$1-2025)/5,IF(N$1&lt;=2035,$E12+($F12-$E12)*(N$1-2030)/5,$F12+($G12-$F12)*(N$1-2035)/5))</f>
        <v>0.3</v>
      </c>
      <c r="O12" s="0" t="n">
        <f aca="false">IF(O$1&lt;=2030,$D12+($E12-$D12)*(O$1-2025)/5,IF(O$1&lt;=2035,$E12+($F12-$E12)*(O$1-2030)/5,$F12+($G12-$F12)*(O$1-2035)/5))</f>
        <v>0.35</v>
      </c>
      <c r="P12" s="0" t="n">
        <f aca="false">IF(P$1&lt;=2030,$D12+($E12-$D12)*(P$1-2025)/5,IF(P$1&lt;=2035,$E12+($F12-$E12)*(P$1-2030)/5,$F12+($G12-$F12)*(P$1-2035)/5))</f>
        <v>0.4</v>
      </c>
      <c r="Q12" s="0" t="n">
        <f aca="false">IF(Q$1&lt;=2030,$D12+($E12-$D12)*(Q$1-2025)/5,IF(Q$1&lt;=2035,$E12+($F12-$E12)*(Q$1-2030)/5,$F12+($G12-$F12)*(Q$1-2035)/5))</f>
        <v>0.45</v>
      </c>
      <c r="R12" s="0" t="n">
        <f aca="false">IF(R$1&lt;=2030,$D12+($E12-$D12)*(R$1-2025)/5,IF(R$1&lt;=2035,$E12+($F12-$E12)*(R$1-2030)/5,$F12+($G12-$F12)*(R$1-2035)/5))</f>
        <v>0.5</v>
      </c>
      <c r="S12" s="0" t="n">
        <f aca="false">IF(S$1&lt;=2030,$D12+($E12-$D12)*(S$1-2025)/5,IF(S$1&lt;=2035,$E12+($F12-$E12)*(S$1-2030)/5,$F12+($G12-$F12)*(S$1-2035)/5))</f>
        <v>0.55</v>
      </c>
      <c r="T12" s="0" t="n">
        <f aca="false">IF(T$1&lt;=2030,$D12+($E12-$D12)*(T$1-2025)/5,IF(T$1&lt;=2035,$E12+($F12-$E12)*(T$1-2030)/5,$F12+($G12-$F12)*(T$1-2035)/5))</f>
        <v>0.6</v>
      </c>
      <c r="U12" s="0" t="n">
        <f aca="false">IF(U$1&lt;=2030,$D12+($E12-$D12)*(U$1-2025)/5,IF(U$1&lt;=2035,$E12+($F12-$E12)*(U$1-2030)/5,$F12+($G12-$F12)*(U$1-2035)/5))</f>
        <v>0.65</v>
      </c>
      <c r="V12" s="0" t="n">
        <f aca="false">IF(V$1&lt;=2030,$D12+($E12-$D12)*(V$1-2025)/5,IF(V$1&lt;=2035,$E12+($F12-$E12)*(V$1-2030)/5,$F12+($G12-$F12)*(V$1-2035)/5))</f>
        <v>0.7</v>
      </c>
      <c r="W12" s="0" t="n">
        <f aca="false">IF(W$1&lt;=2030,$D12+($E12-$D12)*(W$1-2025)/5,IF(W$1&lt;=2035,$E12+($F12-$E12)*(W$1-2030)/5,$F12+($G12-$F12)*(W$1-2035)/5))</f>
        <v>0.75</v>
      </c>
    </row>
    <row r="13" customFormat="false" ht="15" hidden="false" customHeight="false" outlineLevel="0" collapsed="false">
      <c r="A13" s="0" t="s">
        <v>59</v>
      </c>
      <c r="B13" s="0" t="s">
        <v>58</v>
      </c>
      <c r="C13" s="0" t="n">
        <f aca="false">IFERROR(MATCH(A13&amp;"|"&amp;B13&amp;"|"&amp;Control!$B$3,Assumptions!$A$2:$A$112,0),MATCH(A13&amp;"|"&amp;B13&amp;"|All",Assumptions!$A$2:$A$112,0))</f>
        <v>23</v>
      </c>
      <c r="D13" s="0" t="n">
        <f aca="false">INDEX(Assumptions!$E$2:$E$112,$C13)</f>
        <v>0.011</v>
      </c>
      <c r="E13" s="0" t="n">
        <f aca="false">INDEX(Assumptions!$F$2:$F$112,$C13)</f>
        <v>0.06</v>
      </c>
      <c r="F13" s="0" t="n">
        <f aca="false">INDEX(Assumptions!$G$2:$G$112,$C13)</f>
        <v>0.15</v>
      </c>
      <c r="G13" s="0" t="n">
        <f aca="false">INDEX(Assumptions!$H$2:$H$112,$C13)</f>
        <v>0.3</v>
      </c>
      <c r="H13" s="0" t="n">
        <f aca="false">IF(H$1&lt;=2030,$D13+($E13-$D13)*(H$1-2025)/5,IF(H$1&lt;=2035,$E13+($F13-$E13)*(H$1-2030)/5,$F13+($G13-$F13)*(H$1-2035)/5))</f>
        <v>0.011</v>
      </c>
      <c r="I13" s="0" t="n">
        <f aca="false">IF(I$1&lt;=2030,$D13+($E13-$D13)*(I$1-2025)/5,IF(I$1&lt;=2035,$E13+($F13-$E13)*(I$1-2030)/5,$F13+($G13-$F13)*(I$1-2035)/5))</f>
        <v>0.0208</v>
      </c>
      <c r="J13" s="0" t="n">
        <f aca="false">IF(J$1&lt;=2030,$D13+($E13-$D13)*(J$1-2025)/5,IF(J$1&lt;=2035,$E13+($F13-$E13)*(J$1-2030)/5,$F13+($G13-$F13)*(J$1-2035)/5))</f>
        <v>0.0306</v>
      </c>
      <c r="K13" s="0" t="n">
        <f aca="false">IF(K$1&lt;=2030,$D13+($E13-$D13)*(K$1-2025)/5,IF(K$1&lt;=2035,$E13+($F13-$E13)*(K$1-2030)/5,$F13+($G13-$F13)*(K$1-2035)/5))</f>
        <v>0.0404</v>
      </c>
      <c r="L13" s="0" t="n">
        <f aca="false">IF(L$1&lt;=2030,$D13+($E13-$D13)*(L$1-2025)/5,IF(L$1&lt;=2035,$E13+($F13-$E13)*(L$1-2030)/5,$F13+($G13-$F13)*(L$1-2035)/5))</f>
        <v>0.0502</v>
      </c>
      <c r="M13" s="0" t="n">
        <f aca="false">IF(M$1&lt;=2030,$D13+($E13-$D13)*(M$1-2025)/5,IF(M$1&lt;=2035,$E13+($F13-$E13)*(M$1-2030)/5,$F13+($G13-$F13)*(M$1-2035)/5))</f>
        <v>0.06</v>
      </c>
      <c r="N13" s="0" t="n">
        <f aca="false">IF(N$1&lt;=2030,$D13+($E13-$D13)*(N$1-2025)/5,IF(N$1&lt;=2035,$E13+($F13-$E13)*(N$1-2030)/5,$F13+($G13-$F13)*(N$1-2035)/5))</f>
        <v>0.078</v>
      </c>
      <c r="O13" s="0" t="n">
        <f aca="false">IF(O$1&lt;=2030,$D13+($E13-$D13)*(O$1-2025)/5,IF(O$1&lt;=2035,$E13+($F13-$E13)*(O$1-2030)/5,$F13+($G13-$F13)*(O$1-2035)/5))</f>
        <v>0.096</v>
      </c>
      <c r="P13" s="0" t="n">
        <f aca="false">IF(P$1&lt;=2030,$D13+($E13-$D13)*(P$1-2025)/5,IF(P$1&lt;=2035,$E13+($F13-$E13)*(P$1-2030)/5,$F13+($G13-$F13)*(P$1-2035)/5))</f>
        <v>0.114</v>
      </c>
      <c r="Q13" s="0" t="n">
        <f aca="false">IF(Q$1&lt;=2030,$D13+($E13-$D13)*(Q$1-2025)/5,IF(Q$1&lt;=2035,$E13+($F13-$E13)*(Q$1-2030)/5,$F13+($G13-$F13)*(Q$1-2035)/5))</f>
        <v>0.132</v>
      </c>
      <c r="R13" s="0" t="n">
        <f aca="false">IF(R$1&lt;=2030,$D13+($E13-$D13)*(R$1-2025)/5,IF(R$1&lt;=2035,$E13+($F13-$E13)*(R$1-2030)/5,$F13+($G13-$F13)*(R$1-2035)/5))</f>
        <v>0.15</v>
      </c>
      <c r="S13" s="0" t="n">
        <f aca="false">IF(S$1&lt;=2030,$D13+($E13-$D13)*(S$1-2025)/5,IF(S$1&lt;=2035,$E13+($F13-$E13)*(S$1-2030)/5,$F13+($G13-$F13)*(S$1-2035)/5))</f>
        <v>0.18</v>
      </c>
      <c r="T13" s="0" t="n">
        <f aca="false">IF(T$1&lt;=2030,$D13+($E13-$D13)*(T$1-2025)/5,IF(T$1&lt;=2035,$E13+($F13-$E13)*(T$1-2030)/5,$F13+($G13-$F13)*(T$1-2035)/5))</f>
        <v>0.21</v>
      </c>
      <c r="U13" s="0" t="n">
        <f aca="false">IF(U$1&lt;=2030,$D13+($E13-$D13)*(U$1-2025)/5,IF(U$1&lt;=2035,$E13+($F13-$E13)*(U$1-2030)/5,$F13+($G13-$F13)*(U$1-2035)/5))</f>
        <v>0.24</v>
      </c>
      <c r="V13" s="0" t="n">
        <f aca="false">IF(V$1&lt;=2030,$D13+($E13-$D13)*(V$1-2025)/5,IF(V$1&lt;=2035,$E13+($F13-$E13)*(V$1-2030)/5,$F13+($G13-$F13)*(V$1-2035)/5))</f>
        <v>0.27</v>
      </c>
      <c r="W13" s="0" t="n">
        <f aca="false">IF(W$1&lt;=2030,$D13+($E13-$D13)*(W$1-2025)/5,IF(W$1&lt;=2035,$E13+($F13-$E13)*(W$1-2030)/5,$F13+($G13-$F13)*(W$1-2035)/5))</f>
        <v>0.3</v>
      </c>
    </row>
    <row r="14" customFormat="false" ht="15" hidden="false" customHeight="false" outlineLevel="0" collapsed="false">
      <c r="A14" s="0" t="s">
        <v>65</v>
      </c>
      <c r="B14" s="0" t="s">
        <v>53</v>
      </c>
      <c r="C14" s="0" t="n">
        <f aca="false">IFERROR(MATCH(A14&amp;"|"&amp;B14&amp;"|"&amp;Control!$B$3,Assumptions!$A$2:$A$112,0),MATCH(A14&amp;"|"&amp;B14&amp;"|All",Assumptions!$A$2:$A$112,0))</f>
        <v>26</v>
      </c>
      <c r="D14" s="0" t="n">
        <f aca="false">INDEX(Assumptions!$E$2:$E$112,$C14)</f>
        <v>0.25</v>
      </c>
      <c r="E14" s="0" t="n">
        <f aca="false">INDEX(Assumptions!$F$2:$F$112,$C14)</f>
        <v>0.6</v>
      </c>
      <c r="F14" s="0" t="n">
        <f aca="false">INDEX(Assumptions!$G$2:$G$112,$C14)</f>
        <v>0.85</v>
      </c>
      <c r="G14" s="0" t="n">
        <f aca="false">INDEX(Assumptions!$H$2:$H$112,$C14)</f>
        <v>1</v>
      </c>
      <c r="H14" s="0" t="n">
        <f aca="false">IF(H$1&lt;=2030,$D14+($E14-$D14)*(H$1-2025)/5,IF(H$1&lt;=2035,$E14+($F14-$E14)*(H$1-2030)/5,$F14+($G14-$F14)*(H$1-2035)/5))</f>
        <v>0.25</v>
      </c>
      <c r="I14" s="0" t="n">
        <f aca="false">IF(I$1&lt;=2030,$D14+($E14-$D14)*(I$1-2025)/5,IF(I$1&lt;=2035,$E14+($F14-$E14)*(I$1-2030)/5,$F14+($G14-$F14)*(I$1-2035)/5))</f>
        <v>0.32</v>
      </c>
      <c r="J14" s="0" t="n">
        <f aca="false">IF(J$1&lt;=2030,$D14+($E14-$D14)*(J$1-2025)/5,IF(J$1&lt;=2035,$E14+($F14-$E14)*(J$1-2030)/5,$F14+($G14-$F14)*(J$1-2035)/5))</f>
        <v>0.39</v>
      </c>
      <c r="K14" s="0" t="n">
        <f aca="false">IF(K$1&lt;=2030,$D14+($E14-$D14)*(K$1-2025)/5,IF(K$1&lt;=2035,$E14+($F14-$E14)*(K$1-2030)/5,$F14+($G14-$F14)*(K$1-2035)/5))</f>
        <v>0.46</v>
      </c>
      <c r="L14" s="0" t="n">
        <f aca="false">IF(L$1&lt;=2030,$D14+($E14-$D14)*(L$1-2025)/5,IF(L$1&lt;=2035,$E14+($F14-$E14)*(L$1-2030)/5,$F14+($G14-$F14)*(L$1-2035)/5))</f>
        <v>0.53</v>
      </c>
      <c r="M14" s="0" t="n">
        <f aca="false">IF(M$1&lt;=2030,$D14+($E14-$D14)*(M$1-2025)/5,IF(M$1&lt;=2035,$E14+($F14-$E14)*(M$1-2030)/5,$F14+($G14-$F14)*(M$1-2035)/5))</f>
        <v>0.6</v>
      </c>
      <c r="N14" s="0" t="n">
        <f aca="false">IF(N$1&lt;=2030,$D14+($E14-$D14)*(N$1-2025)/5,IF(N$1&lt;=2035,$E14+($F14-$E14)*(N$1-2030)/5,$F14+($G14-$F14)*(N$1-2035)/5))</f>
        <v>0.65</v>
      </c>
      <c r="O14" s="0" t="n">
        <f aca="false">IF(O$1&lt;=2030,$D14+($E14-$D14)*(O$1-2025)/5,IF(O$1&lt;=2035,$E14+($F14-$E14)*(O$1-2030)/5,$F14+($G14-$F14)*(O$1-2035)/5))</f>
        <v>0.7</v>
      </c>
      <c r="P14" s="0" t="n">
        <f aca="false">IF(P$1&lt;=2030,$D14+($E14-$D14)*(P$1-2025)/5,IF(P$1&lt;=2035,$E14+($F14-$E14)*(P$1-2030)/5,$F14+($G14-$F14)*(P$1-2035)/5))</f>
        <v>0.75</v>
      </c>
      <c r="Q14" s="0" t="n">
        <f aca="false">IF(Q$1&lt;=2030,$D14+($E14-$D14)*(Q$1-2025)/5,IF(Q$1&lt;=2035,$E14+($F14-$E14)*(Q$1-2030)/5,$F14+($G14-$F14)*(Q$1-2035)/5))</f>
        <v>0.8</v>
      </c>
      <c r="R14" s="0" t="n">
        <f aca="false">IF(R$1&lt;=2030,$D14+($E14-$D14)*(R$1-2025)/5,IF(R$1&lt;=2035,$E14+($F14-$E14)*(R$1-2030)/5,$F14+($G14-$F14)*(R$1-2035)/5))</f>
        <v>0.85</v>
      </c>
      <c r="S14" s="0" t="n">
        <f aca="false">IF(S$1&lt;=2030,$D14+($E14-$D14)*(S$1-2025)/5,IF(S$1&lt;=2035,$E14+($F14-$E14)*(S$1-2030)/5,$F14+($G14-$F14)*(S$1-2035)/5))</f>
        <v>0.88</v>
      </c>
      <c r="T14" s="0" t="n">
        <f aca="false">IF(T$1&lt;=2030,$D14+($E14-$D14)*(T$1-2025)/5,IF(T$1&lt;=2035,$E14+($F14-$E14)*(T$1-2030)/5,$F14+($G14-$F14)*(T$1-2035)/5))</f>
        <v>0.91</v>
      </c>
      <c r="U14" s="0" t="n">
        <f aca="false">IF(U$1&lt;=2030,$D14+($E14-$D14)*(U$1-2025)/5,IF(U$1&lt;=2035,$E14+($F14-$E14)*(U$1-2030)/5,$F14+($G14-$F14)*(U$1-2035)/5))</f>
        <v>0.94</v>
      </c>
      <c r="V14" s="0" t="n">
        <f aca="false">IF(V$1&lt;=2030,$D14+($E14-$D14)*(V$1-2025)/5,IF(V$1&lt;=2035,$E14+($F14-$E14)*(V$1-2030)/5,$F14+($G14-$F14)*(V$1-2035)/5))</f>
        <v>0.97</v>
      </c>
      <c r="W14" s="0" t="n">
        <f aca="false">IF(W$1&lt;=2030,$D14+($E14-$D14)*(W$1-2025)/5,IF(W$1&lt;=2035,$E14+($F14-$E14)*(W$1-2030)/5,$F14+($G14-$F14)*(W$1-2035)/5))</f>
        <v>1</v>
      </c>
    </row>
    <row r="15" customFormat="false" ht="15" hidden="false" customHeight="false" outlineLevel="0" collapsed="false">
      <c r="A15" s="0" t="s">
        <v>65</v>
      </c>
      <c r="B15" s="0" t="s">
        <v>46</v>
      </c>
      <c r="C15" s="0" t="n">
        <f aca="false">IFERROR(MATCH(A15&amp;"|"&amp;B15&amp;"|"&amp;Control!$B$3,Assumptions!$A$2:$A$112,0),MATCH(A15&amp;"|"&amp;B15&amp;"|All",Assumptions!$A$2:$A$112,0))</f>
        <v>28</v>
      </c>
      <c r="D15" s="0" t="n">
        <f aca="false">INDEX(Assumptions!$E$2:$E$112,$C15)</f>
        <v>1</v>
      </c>
      <c r="E15" s="0" t="n">
        <f aca="false">INDEX(Assumptions!$F$2:$F$112,$C15)</f>
        <v>1</v>
      </c>
      <c r="F15" s="0" t="n">
        <f aca="false">INDEX(Assumptions!$G$2:$G$112,$C15)</f>
        <v>1</v>
      </c>
      <c r="G15" s="0" t="n">
        <f aca="false">INDEX(Assumptions!$H$2:$H$112,$C15)</f>
        <v>1</v>
      </c>
      <c r="H15" s="0" t="n">
        <f aca="false">IF(H$1&lt;=2030,$D15+($E15-$D15)*(H$1-2025)/5,IF(H$1&lt;=2035,$E15+($F15-$E15)*(H$1-2030)/5,$F15+($G15-$F15)*(H$1-2035)/5))</f>
        <v>1</v>
      </c>
      <c r="I15" s="0" t="n">
        <f aca="false">IF(I$1&lt;=2030,$D15+($E15-$D15)*(I$1-2025)/5,IF(I$1&lt;=2035,$E15+($F15-$E15)*(I$1-2030)/5,$F15+($G15-$F15)*(I$1-2035)/5))</f>
        <v>1</v>
      </c>
      <c r="J15" s="0" t="n">
        <f aca="false">IF(J$1&lt;=2030,$D15+($E15-$D15)*(J$1-2025)/5,IF(J$1&lt;=2035,$E15+($F15-$E15)*(J$1-2030)/5,$F15+($G15-$F15)*(J$1-2035)/5))</f>
        <v>1</v>
      </c>
      <c r="K15" s="0" t="n">
        <f aca="false">IF(K$1&lt;=2030,$D15+($E15-$D15)*(K$1-2025)/5,IF(K$1&lt;=2035,$E15+($F15-$E15)*(K$1-2030)/5,$F15+($G15-$F15)*(K$1-2035)/5))</f>
        <v>1</v>
      </c>
      <c r="L15" s="0" t="n">
        <f aca="false">IF(L$1&lt;=2030,$D15+($E15-$D15)*(L$1-2025)/5,IF(L$1&lt;=2035,$E15+($F15-$E15)*(L$1-2030)/5,$F15+($G15-$F15)*(L$1-2035)/5))</f>
        <v>1</v>
      </c>
      <c r="M15" s="0" t="n">
        <f aca="false">IF(M$1&lt;=2030,$D15+($E15-$D15)*(M$1-2025)/5,IF(M$1&lt;=2035,$E15+($F15-$E15)*(M$1-2030)/5,$F15+($G15-$F15)*(M$1-2035)/5))</f>
        <v>1</v>
      </c>
      <c r="N15" s="0" t="n">
        <f aca="false">IF(N$1&lt;=2030,$D15+($E15-$D15)*(N$1-2025)/5,IF(N$1&lt;=2035,$E15+($F15-$E15)*(N$1-2030)/5,$F15+($G15-$F15)*(N$1-2035)/5))</f>
        <v>1</v>
      </c>
      <c r="O15" s="0" t="n">
        <f aca="false">IF(O$1&lt;=2030,$D15+($E15-$D15)*(O$1-2025)/5,IF(O$1&lt;=2035,$E15+($F15-$E15)*(O$1-2030)/5,$F15+($G15-$F15)*(O$1-2035)/5))</f>
        <v>1</v>
      </c>
      <c r="P15" s="0" t="n">
        <f aca="false">IF(P$1&lt;=2030,$D15+($E15-$D15)*(P$1-2025)/5,IF(P$1&lt;=2035,$E15+($F15-$E15)*(P$1-2030)/5,$F15+($G15-$F15)*(P$1-2035)/5))</f>
        <v>1</v>
      </c>
      <c r="Q15" s="0" t="n">
        <f aca="false">IF(Q$1&lt;=2030,$D15+($E15-$D15)*(Q$1-2025)/5,IF(Q$1&lt;=2035,$E15+($F15-$E15)*(Q$1-2030)/5,$F15+($G15-$F15)*(Q$1-2035)/5))</f>
        <v>1</v>
      </c>
      <c r="R15" s="0" t="n">
        <f aca="false">IF(R$1&lt;=2030,$D15+($E15-$D15)*(R$1-2025)/5,IF(R$1&lt;=2035,$E15+($F15-$E15)*(R$1-2030)/5,$F15+($G15-$F15)*(R$1-2035)/5))</f>
        <v>1</v>
      </c>
      <c r="S15" s="0" t="n">
        <f aca="false">IF(S$1&lt;=2030,$D15+($E15-$D15)*(S$1-2025)/5,IF(S$1&lt;=2035,$E15+($F15-$E15)*(S$1-2030)/5,$F15+($G15-$F15)*(S$1-2035)/5))</f>
        <v>1</v>
      </c>
      <c r="T15" s="0" t="n">
        <f aca="false">IF(T$1&lt;=2030,$D15+($E15-$D15)*(T$1-2025)/5,IF(T$1&lt;=2035,$E15+($F15-$E15)*(T$1-2030)/5,$F15+($G15-$F15)*(T$1-2035)/5))</f>
        <v>1</v>
      </c>
      <c r="U15" s="0" t="n">
        <f aca="false">IF(U$1&lt;=2030,$D15+($E15-$D15)*(U$1-2025)/5,IF(U$1&lt;=2035,$E15+($F15-$E15)*(U$1-2030)/5,$F15+($G15-$F15)*(U$1-2035)/5))</f>
        <v>1</v>
      </c>
      <c r="V15" s="0" t="n">
        <f aca="false">IF(V$1&lt;=2030,$D15+($E15-$D15)*(V$1-2025)/5,IF(V$1&lt;=2035,$E15+($F15-$E15)*(V$1-2030)/5,$F15+($G15-$F15)*(V$1-2035)/5))</f>
        <v>1</v>
      </c>
      <c r="W15" s="0" t="n">
        <f aca="false">IF(W$1&lt;=2030,$D15+($E15-$D15)*(W$1-2025)/5,IF(W$1&lt;=2035,$E15+($F15-$E15)*(W$1-2030)/5,$F15+($G15-$F15)*(W$1-2035)/5))</f>
        <v>1</v>
      </c>
    </row>
    <row r="16" customFormat="false" ht="15" hidden="false" customHeight="false" outlineLevel="0" collapsed="false">
      <c r="A16" s="0" t="s">
        <v>65</v>
      </c>
      <c r="B16" s="0" t="s">
        <v>51</v>
      </c>
      <c r="C16" s="0" t="n">
        <f aca="false">IFERROR(MATCH(A16&amp;"|"&amp;B16&amp;"|"&amp;Control!$B$3,Assumptions!$A$2:$A$112,0),MATCH(A16&amp;"|"&amp;B16&amp;"|All",Assumptions!$A$2:$A$112,0))</f>
        <v>29</v>
      </c>
      <c r="D16" s="0" t="n">
        <f aca="false">INDEX(Assumptions!$E$2:$E$112,$C16)</f>
        <v>1</v>
      </c>
      <c r="E16" s="0" t="n">
        <f aca="false">INDEX(Assumptions!$F$2:$F$112,$C16)</f>
        <v>1</v>
      </c>
      <c r="F16" s="0" t="n">
        <f aca="false">INDEX(Assumptions!$G$2:$G$112,$C16)</f>
        <v>1</v>
      </c>
      <c r="G16" s="0" t="n">
        <f aca="false">INDEX(Assumptions!$H$2:$H$112,$C16)</f>
        <v>1</v>
      </c>
      <c r="H16" s="0" t="n">
        <f aca="false">IF(H$1&lt;=2030,$D16+($E16-$D16)*(H$1-2025)/5,IF(H$1&lt;=2035,$E16+($F16-$E16)*(H$1-2030)/5,$F16+($G16-$F16)*(H$1-2035)/5))</f>
        <v>1</v>
      </c>
      <c r="I16" s="0" t="n">
        <f aca="false">IF(I$1&lt;=2030,$D16+($E16-$D16)*(I$1-2025)/5,IF(I$1&lt;=2035,$E16+($F16-$E16)*(I$1-2030)/5,$F16+($G16-$F16)*(I$1-2035)/5))</f>
        <v>1</v>
      </c>
      <c r="J16" s="0" t="n">
        <f aca="false">IF(J$1&lt;=2030,$D16+($E16-$D16)*(J$1-2025)/5,IF(J$1&lt;=2035,$E16+($F16-$E16)*(J$1-2030)/5,$F16+($G16-$F16)*(J$1-2035)/5))</f>
        <v>1</v>
      </c>
      <c r="K16" s="0" t="n">
        <f aca="false">IF(K$1&lt;=2030,$D16+($E16-$D16)*(K$1-2025)/5,IF(K$1&lt;=2035,$E16+($F16-$E16)*(K$1-2030)/5,$F16+($G16-$F16)*(K$1-2035)/5))</f>
        <v>1</v>
      </c>
      <c r="L16" s="0" t="n">
        <f aca="false">IF(L$1&lt;=2030,$D16+($E16-$D16)*(L$1-2025)/5,IF(L$1&lt;=2035,$E16+($F16-$E16)*(L$1-2030)/5,$F16+($G16-$F16)*(L$1-2035)/5))</f>
        <v>1</v>
      </c>
      <c r="M16" s="0" t="n">
        <f aca="false">IF(M$1&lt;=2030,$D16+($E16-$D16)*(M$1-2025)/5,IF(M$1&lt;=2035,$E16+($F16-$E16)*(M$1-2030)/5,$F16+($G16-$F16)*(M$1-2035)/5))</f>
        <v>1</v>
      </c>
      <c r="N16" s="0" t="n">
        <f aca="false">IF(N$1&lt;=2030,$D16+($E16-$D16)*(N$1-2025)/5,IF(N$1&lt;=2035,$E16+($F16-$E16)*(N$1-2030)/5,$F16+($G16-$F16)*(N$1-2035)/5))</f>
        <v>1</v>
      </c>
      <c r="O16" s="0" t="n">
        <f aca="false">IF(O$1&lt;=2030,$D16+($E16-$D16)*(O$1-2025)/5,IF(O$1&lt;=2035,$E16+($F16-$E16)*(O$1-2030)/5,$F16+($G16-$F16)*(O$1-2035)/5))</f>
        <v>1</v>
      </c>
      <c r="P16" s="0" t="n">
        <f aca="false">IF(P$1&lt;=2030,$D16+($E16-$D16)*(P$1-2025)/5,IF(P$1&lt;=2035,$E16+($F16-$E16)*(P$1-2030)/5,$F16+($G16-$F16)*(P$1-2035)/5))</f>
        <v>1</v>
      </c>
      <c r="Q16" s="0" t="n">
        <f aca="false">IF(Q$1&lt;=2030,$D16+($E16-$D16)*(Q$1-2025)/5,IF(Q$1&lt;=2035,$E16+($F16-$E16)*(Q$1-2030)/5,$F16+($G16-$F16)*(Q$1-2035)/5))</f>
        <v>1</v>
      </c>
      <c r="R16" s="0" t="n">
        <f aca="false">IF(R$1&lt;=2030,$D16+($E16-$D16)*(R$1-2025)/5,IF(R$1&lt;=2035,$E16+($F16-$E16)*(R$1-2030)/5,$F16+($G16-$F16)*(R$1-2035)/5))</f>
        <v>1</v>
      </c>
      <c r="S16" s="0" t="n">
        <f aca="false">IF(S$1&lt;=2030,$D16+($E16-$D16)*(S$1-2025)/5,IF(S$1&lt;=2035,$E16+($F16-$E16)*(S$1-2030)/5,$F16+($G16-$F16)*(S$1-2035)/5))</f>
        <v>1</v>
      </c>
      <c r="T16" s="0" t="n">
        <f aca="false">IF(T$1&lt;=2030,$D16+($E16-$D16)*(T$1-2025)/5,IF(T$1&lt;=2035,$E16+($F16-$E16)*(T$1-2030)/5,$F16+($G16-$F16)*(T$1-2035)/5))</f>
        <v>1</v>
      </c>
      <c r="U16" s="0" t="n">
        <f aca="false">IF(U$1&lt;=2030,$D16+($E16-$D16)*(U$1-2025)/5,IF(U$1&lt;=2035,$E16+($F16-$E16)*(U$1-2030)/5,$F16+($G16-$F16)*(U$1-2035)/5))</f>
        <v>1</v>
      </c>
      <c r="V16" s="0" t="n">
        <f aca="false">IF(V$1&lt;=2030,$D16+($E16-$D16)*(V$1-2025)/5,IF(V$1&lt;=2035,$E16+($F16-$E16)*(V$1-2030)/5,$F16+($G16-$F16)*(V$1-2035)/5))</f>
        <v>1</v>
      </c>
      <c r="W16" s="0" t="n">
        <f aca="false">IF(W$1&lt;=2030,$D16+($E16-$D16)*(W$1-2025)/5,IF(W$1&lt;=2035,$E16+($F16-$E16)*(W$1-2030)/5,$F16+($G16-$F16)*(W$1-2035)/5))</f>
        <v>1</v>
      </c>
    </row>
    <row r="17" customFormat="false" ht="15" hidden="false" customHeight="false" outlineLevel="0" collapsed="false">
      <c r="A17" s="0" t="s">
        <v>65</v>
      </c>
      <c r="B17" s="0" t="s">
        <v>55</v>
      </c>
      <c r="C17" s="0" t="n">
        <f aca="false">IFERROR(MATCH(A17&amp;"|"&amp;B17&amp;"|"&amp;Control!$B$3,Assumptions!$A$2:$A$112,0),MATCH(A17&amp;"|"&amp;B17&amp;"|All",Assumptions!$A$2:$A$112,0))</f>
        <v>30</v>
      </c>
      <c r="D17" s="0" t="n">
        <f aca="false">INDEX(Assumptions!$E$2:$E$112,$C17)</f>
        <v>1</v>
      </c>
      <c r="E17" s="0" t="n">
        <f aca="false">INDEX(Assumptions!$F$2:$F$112,$C17)</f>
        <v>1</v>
      </c>
      <c r="F17" s="0" t="n">
        <f aca="false">INDEX(Assumptions!$G$2:$G$112,$C17)</f>
        <v>1</v>
      </c>
      <c r="G17" s="0" t="n">
        <f aca="false">INDEX(Assumptions!$H$2:$H$112,$C17)</f>
        <v>1</v>
      </c>
      <c r="H17" s="0" t="n">
        <f aca="false">IF(H$1&lt;=2030,$D17+($E17-$D17)*(H$1-2025)/5,IF(H$1&lt;=2035,$E17+($F17-$E17)*(H$1-2030)/5,$F17+($G17-$F17)*(H$1-2035)/5))</f>
        <v>1</v>
      </c>
      <c r="I17" s="0" t="n">
        <f aca="false">IF(I$1&lt;=2030,$D17+($E17-$D17)*(I$1-2025)/5,IF(I$1&lt;=2035,$E17+($F17-$E17)*(I$1-2030)/5,$F17+($G17-$F17)*(I$1-2035)/5))</f>
        <v>1</v>
      </c>
      <c r="J17" s="0" t="n">
        <f aca="false">IF(J$1&lt;=2030,$D17+($E17-$D17)*(J$1-2025)/5,IF(J$1&lt;=2035,$E17+($F17-$E17)*(J$1-2030)/5,$F17+($G17-$F17)*(J$1-2035)/5))</f>
        <v>1</v>
      </c>
      <c r="K17" s="0" t="n">
        <f aca="false">IF(K$1&lt;=2030,$D17+($E17-$D17)*(K$1-2025)/5,IF(K$1&lt;=2035,$E17+($F17-$E17)*(K$1-2030)/5,$F17+($G17-$F17)*(K$1-2035)/5))</f>
        <v>1</v>
      </c>
      <c r="L17" s="0" t="n">
        <f aca="false">IF(L$1&lt;=2030,$D17+($E17-$D17)*(L$1-2025)/5,IF(L$1&lt;=2035,$E17+($F17-$E17)*(L$1-2030)/5,$F17+($G17-$F17)*(L$1-2035)/5))</f>
        <v>1</v>
      </c>
      <c r="M17" s="0" t="n">
        <f aca="false">IF(M$1&lt;=2030,$D17+($E17-$D17)*(M$1-2025)/5,IF(M$1&lt;=2035,$E17+($F17-$E17)*(M$1-2030)/5,$F17+($G17-$F17)*(M$1-2035)/5))</f>
        <v>1</v>
      </c>
      <c r="N17" s="0" t="n">
        <f aca="false">IF(N$1&lt;=2030,$D17+($E17-$D17)*(N$1-2025)/5,IF(N$1&lt;=2035,$E17+($F17-$E17)*(N$1-2030)/5,$F17+($G17-$F17)*(N$1-2035)/5))</f>
        <v>1</v>
      </c>
      <c r="O17" s="0" t="n">
        <f aca="false">IF(O$1&lt;=2030,$D17+($E17-$D17)*(O$1-2025)/5,IF(O$1&lt;=2035,$E17+($F17-$E17)*(O$1-2030)/5,$F17+($G17-$F17)*(O$1-2035)/5))</f>
        <v>1</v>
      </c>
      <c r="P17" s="0" t="n">
        <f aca="false">IF(P$1&lt;=2030,$D17+($E17-$D17)*(P$1-2025)/5,IF(P$1&lt;=2035,$E17+($F17-$E17)*(P$1-2030)/5,$F17+($G17-$F17)*(P$1-2035)/5))</f>
        <v>1</v>
      </c>
      <c r="Q17" s="0" t="n">
        <f aca="false">IF(Q$1&lt;=2030,$D17+($E17-$D17)*(Q$1-2025)/5,IF(Q$1&lt;=2035,$E17+($F17-$E17)*(Q$1-2030)/5,$F17+($G17-$F17)*(Q$1-2035)/5))</f>
        <v>1</v>
      </c>
      <c r="R17" s="0" t="n">
        <f aca="false">IF(R$1&lt;=2030,$D17+($E17-$D17)*(R$1-2025)/5,IF(R$1&lt;=2035,$E17+($F17-$E17)*(R$1-2030)/5,$F17+($G17-$F17)*(R$1-2035)/5))</f>
        <v>1</v>
      </c>
      <c r="S17" s="0" t="n">
        <f aca="false">IF(S$1&lt;=2030,$D17+($E17-$D17)*(S$1-2025)/5,IF(S$1&lt;=2035,$E17+($F17-$E17)*(S$1-2030)/5,$F17+($G17-$F17)*(S$1-2035)/5))</f>
        <v>1</v>
      </c>
      <c r="T17" s="0" t="n">
        <f aca="false">IF(T$1&lt;=2030,$D17+($E17-$D17)*(T$1-2025)/5,IF(T$1&lt;=2035,$E17+($F17-$E17)*(T$1-2030)/5,$F17+($G17-$F17)*(T$1-2035)/5))</f>
        <v>1</v>
      </c>
      <c r="U17" s="0" t="n">
        <f aca="false">IF(U$1&lt;=2030,$D17+($E17-$D17)*(U$1-2025)/5,IF(U$1&lt;=2035,$E17+($F17-$E17)*(U$1-2030)/5,$F17+($G17-$F17)*(U$1-2035)/5))</f>
        <v>1</v>
      </c>
      <c r="V17" s="0" t="n">
        <f aca="false">IF(V$1&lt;=2030,$D17+($E17-$D17)*(V$1-2025)/5,IF(V$1&lt;=2035,$E17+($F17-$E17)*(V$1-2030)/5,$F17+($G17-$F17)*(V$1-2035)/5))</f>
        <v>1</v>
      </c>
      <c r="W17" s="0" t="n">
        <f aca="false">IF(W$1&lt;=2030,$D17+($E17-$D17)*(W$1-2025)/5,IF(W$1&lt;=2035,$E17+($F17-$E17)*(W$1-2030)/5,$F17+($G17-$F17)*(W$1-2035)/5))</f>
        <v>1</v>
      </c>
    </row>
    <row r="18" customFormat="false" ht="15" hidden="false" customHeight="false" outlineLevel="0" collapsed="false">
      <c r="A18" s="0" t="s">
        <v>65</v>
      </c>
      <c r="B18" s="0" t="s">
        <v>57</v>
      </c>
      <c r="C18" s="0" t="n">
        <f aca="false">IFERROR(MATCH(A18&amp;"|"&amp;B18&amp;"|"&amp;Control!$B$3,Assumptions!$A$2:$A$112,0),MATCH(A18&amp;"|"&amp;B18&amp;"|All",Assumptions!$A$2:$A$112,0))</f>
        <v>31</v>
      </c>
      <c r="D18" s="0" t="n">
        <f aca="false">INDEX(Assumptions!$E$2:$E$112,$C18)</f>
        <v>1</v>
      </c>
      <c r="E18" s="0" t="n">
        <f aca="false">INDEX(Assumptions!$F$2:$F$112,$C18)</f>
        <v>1</v>
      </c>
      <c r="F18" s="0" t="n">
        <f aca="false">INDEX(Assumptions!$G$2:$G$112,$C18)</f>
        <v>1</v>
      </c>
      <c r="G18" s="0" t="n">
        <f aca="false">INDEX(Assumptions!$H$2:$H$112,$C18)</f>
        <v>1</v>
      </c>
      <c r="H18" s="0" t="n">
        <f aca="false">IF(H$1&lt;=2030,$D18+($E18-$D18)*(H$1-2025)/5,IF(H$1&lt;=2035,$E18+($F18-$E18)*(H$1-2030)/5,$F18+($G18-$F18)*(H$1-2035)/5))</f>
        <v>1</v>
      </c>
      <c r="I18" s="0" t="n">
        <f aca="false">IF(I$1&lt;=2030,$D18+($E18-$D18)*(I$1-2025)/5,IF(I$1&lt;=2035,$E18+($F18-$E18)*(I$1-2030)/5,$F18+($G18-$F18)*(I$1-2035)/5))</f>
        <v>1</v>
      </c>
      <c r="J18" s="0" t="n">
        <f aca="false">IF(J$1&lt;=2030,$D18+($E18-$D18)*(J$1-2025)/5,IF(J$1&lt;=2035,$E18+($F18-$E18)*(J$1-2030)/5,$F18+($G18-$F18)*(J$1-2035)/5))</f>
        <v>1</v>
      </c>
      <c r="K18" s="0" t="n">
        <f aca="false">IF(K$1&lt;=2030,$D18+($E18-$D18)*(K$1-2025)/5,IF(K$1&lt;=2035,$E18+($F18-$E18)*(K$1-2030)/5,$F18+($G18-$F18)*(K$1-2035)/5))</f>
        <v>1</v>
      </c>
      <c r="L18" s="0" t="n">
        <f aca="false">IF(L$1&lt;=2030,$D18+($E18-$D18)*(L$1-2025)/5,IF(L$1&lt;=2035,$E18+($F18-$E18)*(L$1-2030)/5,$F18+($G18-$F18)*(L$1-2035)/5))</f>
        <v>1</v>
      </c>
      <c r="M18" s="0" t="n">
        <f aca="false">IF(M$1&lt;=2030,$D18+($E18-$D18)*(M$1-2025)/5,IF(M$1&lt;=2035,$E18+($F18-$E18)*(M$1-2030)/5,$F18+($G18-$F18)*(M$1-2035)/5))</f>
        <v>1</v>
      </c>
      <c r="N18" s="0" t="n">
        <f aca="false">IF(N$1&lt;=2030,$D18+($E18-$D18)*(N$1-2025)/5,IF(N$1&lt;=2035,$E18+($F18-$E18)*(N$1-2030)/5,$F18+($G18-$F18)*(N$1-2035)/5))</f>
        <v>1</v>
      </c>
      <c r="O18" s="0" t="n">
        <f aca="false">IF(O$1&lt;=2030,$D18+($E18-$D18)*(O$1-2025)/5,IF(O$1&lt;=2035,$E18+($F18-$E18)*(O$1-2030)/5,$F18+($G18-$F18)*(O$1-2035)/5))</f>
        <v>1</v>
      </c>
      <c r="P18" s="0" t="n">
        <f aca="false">IF(P$1&lt;=2030,$D18+($E18-$D18)*(P$1-2025)/5,IF(P$1&lt;=2035,$E18+($F18-$E18)*(P$1-2030)/5,$F18+($G18-$F18)*(P$1-2035)/5))</f>
        <v>1</v>
      </c>
      <c r="Q18" s="0" t="n">
        <f aca="false">IF(Q$1&lt;=2030,$D18+($E18-$D18)*(Q$1-2025)/5,IF(Q$1&lt;=2035,$E18+($F18-$E18)*(Q$1-2030)/5,$F18+($G18-$F18)*(Q$1-2035)/5))</f>
        <v>1</v>
      </c>
      <c r="R18" s="0" t="n">
        <f aca="false">IF(R$1&lt;=2030,$D18+($E18-$D18)*(R$1-2025)/5,IF(R$1&lt;=2035,$E18+($F18-$E18)*(R$1-2030)/5,$F18+($G18-$F18)*(R$1-2035)/5))</f>
        <v>1</v>
      </c>
      <c r="S18" s="0" t="n">
        <f aca="false">IF(S$1&lt;=2030,$D18+($E18-$D18)*(S$1-2025)/5,IF(S$1&lt;=2035,$E18+($F18-$E18)*(S$1-2030)/5,$F18+($G18-$F18)*(S$1-2035)/5))</f>
        <v>1</v>
      </c>
      <c r="T18" s="0" t="n">
        <f aca="false">IF(T$1&lt;=2030,$D18+($E18-$D18)*(T$1-2025)/5,IF(T$1&lt;=2035,$E18+($F18-$E18)*(T$1-2030)/5,$F18+($G18-$F18)*(T$1-2035)/5))</f>
        <v>1</v>
      </c>
      <c r="U18" s="0" t="n">
        <f aca="false">IF(U$1&lt;=2030,$D18+($E18-$D18)*(U$1-2025)/5,IF(U$1&lt;=2035,$E18+($F18-$E18)*(U$1-2030)/5,$F18+($G18-$F18)*(U$1-2035)/5))</f>
        <v>1</v>
      </c>
      <c r="V18" s="0" t="n">
        <f aca="false">IF(V$1&lt;=2030,$D18+($E18-$D18)*(V$1-2025)/5,IF(V$1&lt;=2035,$E18+($F18-$E18)*(V$1-2030)/5,$F18+($G18-$F18)*(V$1-2035)/5))</f>
        <v>1</v>
      </c>
      <c r="W18" s="0" t="n">
        <f aca="false">IF(W$1&lt;=2030,$D18+($E18-$D18)*(W$1-2025)/5,IF(W$1&lt;=2035,$E18+($F18-$E18)*(W$1-2030)/5,$F18+($G18-$F18)*(W$1-2035)/5))</f>
        <v>1</v>
      </c>
    </row>
    <row r="19" customFormat="false" ht="15" hidden="false" customHeight="false" outlineLevel="0" collapsed="false">
      <c r="A19" s="0" t="s">
        <v>65</v>
      </c>
      <c r="B19" s="0" t="s">
        <v>58</v>
      </c>
      <c r="C19" s="0" t="n">
        <f aca="false">IFERROR(MATCH(A19&amp;"|"&amp;B19&amp;"|"&amp;Control!$B$3,Assumptions!$A$2:$A$112,0),MATCH(A19&amp;"|"&amp;B19&amp;"|All",Assumptions!$A$2:$A$112,0))</f>
        <v>32</v>
      </c>
      <c r="D19" s="0" t="n">
        <f aca="false">INDEX(Assumptions!$E$2:$E$112,$C19)</f>
        <v>1</v>
      </c>
      <c r="E19" s="0" t="n">
        <f aca="false">INDEX(Assumptions!$F$2:$F$112,$C19)</f>
        <v>1</v>
      </c>
      <c r="F19" s="0" t="n">
        <f aca="false">INDEX(Assumptions!$G$2:$G$112,$C19)</f>
        <v>1</v>
      </c>
      <c r="G19" s="0" t="n">
        <f aca="false">INDEX(Assumptions!$H$2:$H$112,$C19)</f>
        <v>1</v>
      </c>
      <c r="H19" s="0" t="n">
        <f aca="false">IF(H$1&lt;=2030,$D19+($E19-$D19)*(H$1-2025)/5,IF(H$1&lt;=2035,$E19+($F19-$E19)*(H$1-2030)/5,$F19+($G19-$F19)*(H$1-2035)/5))</f>
        <v>1</v>
      </c>
      <c r="I19" s="0" t="n">
        <f aca="false">IF(I$1&lt;=2030,$D19+($E19-$D19)*(I$1-2025)/5,IF(I$1&lt;=2035,$E19+($F19-$E19)*(I$1-2030)/5,$F19+($G19-$F19)*(I$1-2035)/5))</f>
        <v>1</v>
      </c>
      <c r="J19" s="0" t="n">
        <f aca="false">IF(J$1&lt;=2030,$D19+($E19-$D19)*(J$1-2025)/5,IF(J$1&lt;=2035,$E19+($F19-$E19)*(J$1-2030)/5,$F19+($G19-$F19)*(J$1-2035)/5))</f>
        <v>1</v>
      </c>
      <c r="K19" s="0" t="n">
        <f aca="false">IF(K$1&lt;=2030,$D19+($E19-$D19)*(K$1-2025)/5,IF(K$1&lt;=2035,$E19+($F19-$E19)*(K$1-2030)/5,$F19+($G19-$F19)*(K$1-2035)/5))</f>
        <v>1</v>
      </c>
      <c r="L19" s="0" t="n">
        <f aca="false">IF(L$1&lt;=2030,$D19+($E19-$D19)*(L$1-2025)/5,IF(L$1&lt;=2035,$E19+($F19-$E19)*(L$1-2030)/5,$F19+($G19-$F19)*(L$1-2035)/5))</f>
        <v>1</v>
      </c>
      <c r="M19" s="0" t="n">
        <f aca="false">IF(M$1&lt;=2030,$D19+($E19-$D19)*(M$1-2025)/5,IF(M$1&lt;=2035,$E19+($F19-$E19)*(M$1-2030)/5,$F19+($G19-$F19)*(M$1-2035)/5))</f>
        <v>1</v>
      </c>
      <c r="N19" s="0" t="n">
        <f aca="false">IF(N$1&lt;=2030,$D19+($E19-$D19)*(N$1-2025)/5,IF(N$1&lt;=2035,$E19+($F19-$E19)*(N$1-2030)/5,$F19+($G19-$F19)*(N$1-2035)/5))</f>
        <v>1</v>
      </c>
      <c r="O19" s="0" t="n">
        <f aca="false">IF(O$1&lt;=2030,$D19+($E19-$D19)*(O$1-2025)/5,IF(O$1&lt;=2035,$E19+($F19-$E19)*(O$1-2030)/5,$F19+($G19-$F19)*(O$1-2035)/5))</f>
        <v>1</v>
      </c>
      <c r="P19" s="0" t="n">
        <f aca="false">IF(P$1&lt;=2030,$D19+($E19-$D19)*(P$1-2025)/5,IF(P$1&lt;=2035,$E19+($F19-$E19)*(P$1-2030)/5,$F19+($G19-$F19)*(P$1-2035)/5))</f>
        <v>1</v>
      </c>
      <c r="Q19" s="0" t="n">
        <f aca="false">IF(Q$1&lt;=2030,$D19+($E19-$D19)*(Q$1-2025)/5,IF(Q$1&lt;=2035,$E19+($F19-$E19)*(Q$1-2030)/5,$F19+($G19-$F19)*(Q$1-2035)/5))</f>
        <v>1</v>
      </c>
      <c r="R19" s="0" t="n">
        <f aca="false">IF(R$1&lt;=2030,$D19+($E19-$D19)*(R$1-2025)/5,IF(R$1&lt;=2035,$E19+($F19-$E19)*(R$1-2030)/5,$F19+($G19-$F19)*(R$1-2035)/5))</f>
        <v>1</v>
      </c>
      <c r="S19" s="0" t="n">
        <f aca="false">IF(S$1&lt;=2030,$D19+($E19-$D19)*(S$1-2025)/5,IF(S$1&lt;=2035,$E19+($F19-$E19)*(S$1-2030)/5,$F19+($G19-$F19)*(S$1-2035)/5))</f>
        <v>1</v>
      </c>
      <c r="T19" s="0" t="n">
        <f aca="false">IF(T$1&lt;=2030,$D19+($E19-$D19)*(T$1-2025)/5,IF(T$1&lt;=2035,$E19+($F19-$E19)*(T$1-2030)/5,$F19+($G19-$F19)*(T$1-2035)/5))</f>
        <v>1</v>
      </c>
      <c r="U19" s="0" t="n">
        <f aca="false">IF(U$1&lt;=2030,$D19+($E19-$D19)*(U$1-2025)/5,IF(U$1&lt;=2035,$E19+($F19-$E19)*(U$1-2030)/5,$F19+($G19-$F19)*(U$1-2035)/5))</f>
        <v>1</v>
      </c>
      <c r="V19" s="0" t="n">
        <f aca="false">IF(V$1&lt;=2030,$D19+($E19-$D19)*(V$1-2025)/5,IF(V$1&lt;=2035,$E19+($F19-$E19)*(V$1-2030)/5,$F19+($G19-$F19)*(V$1-2035)/5))</f>
        <v>1</v>
      </c>
      <c r="W19" s="0" t="n">
        <f aca="false">IF(W$1&lt;=2030,$D19+($E19-$D19)*(W$1-2025)/5,IF(W$1&lt;=2035,$E19+($F19-$E19)*(W$1-2030)/5,$F19+($G19-$F19)*(W$1-2035)/5))</f>
        <v>1</v>
      </c>
    </row>
    <row r="20" customFormat="false" ht="15" hidden="false" customHeight="false" outlineLevel="0" collapsed="false">
      <c r="A20" s="0" t="s">
        <v>71</v>
      </c>
      <c r="B20" s="0" t="s">
        <v>46</v>
      </c>
      <c r="C20" s="0" t="n">
        <f aca="false">IFERROR(MATCH(A20&amp;"|"&amp;B20&amp;"|"&amp;Control!$B$3,Assumptions!$A$2:$A$112,0),MATCH(A20&amp;"|"&amp;B20&amp;"|All",Assumptions!$A$2:$A$112,0))</f>
        <v>33</v>
      </c>
      <c r="D20" s="0" t="n">
        <f aca="false">INDEX(Assumptions!$E$2:$E$112,$C20)</f>
        <v>2.8</v>
      </c>
      <c r="E20" s="0" t="n">
        <f aca="false">INDEX(Assumptions!$F$2:$F$112,$C20)</f>
        <v>3.2</v>
      </c>
      <c r="F20" s="0" t="n">
        <f aca="false">INDEX(Assumptions!$G$2:$G$112,$C20)</f>
        <v>3.5</v>
      </c>
      <c r="G20" s="0" t="n">
        <f aca="false">INDEX(Assumptions!$H$2:$H$112,$C20)</f>
        <v>3.8</v>
      </c>
      <c r="H20" s="0" t="n">
        <f aca="false">IF(H$1&lt;=2030,$D20+($E20-$D20)*(H$1-2025)/5,IF(H$1&lt;=2035,$E20+($F20-$E20)*(H$1-2030)/5,$F20+($G20-$F20)*(H$1-2035)/5))</f>
        <v>2.8</v>
      </c>
      <c r="I20" s="0" t="n">
        <f aca="false">IF(I$1&lt;=2030,$D20+($E20-$D20)*(I$1-2025)/5,IF(I$1&lt;=2035,$E20+($F20-$E20)*(I$1-2030)/5,$F20+($G20-$F20)*(I$1-2035)/5))</f>
        <v>2.88</v>
      </c>
      <c r="J20" s="0" t="n">
        <f aca="false">IF(J$1&lt;=2030,$D20+($E20-$D20)*(J$1-2025)/5,IF(J$1&lt;=2035,$E20+($F20-$E20)*(J$1-2030)/5,$F20+($G20-$F20)*(J$1-2035)/5))</f>
        <v>2.96</v>
      </c>
      <c r="K20" s="0" t="n">
        <f aca="false">IF(K$1&lt;=2030,$D20+($E20-$D20)*(K$1-2025)/5,IF(K$1&lt;=2035,$E20+($F20-$E20)*(K$1-2030)/5,$F20+($G20-$F20)*(K$1-2035)/5))</f>
        <v>3.04</v>
      </c>
      <c r="L20" s="0" t="n">
        <f aca="false">IF(L$1&lt;=2030,$D20+($E20-$D20)*(L$1-2025)/5,IF(L$1&lt;=2035,$E20+($F20-$E20)*(L$1-2030)/5,$F20+($G20-$F20)*(L$1-2035)/5))</f>
        <v>3.12</v>
      </c>
      <c r="M20" s="0" t="n">
        <f aca="false">IF(M$1&lt;=2030,$D20+($E20-$D20)*(M$1-2025)/5,IF(M$1&lt;=2035,$E20+($F20-$E20)*(M$1-2030)/5,$F20+($G20-$F20)*(M$1-2035)/5))</f>
        <v>3.2</v>
      </c>
      <c r="N20" s="0" t="n">
        <f aca="false">IF(N$1&lt;=2030,$D20+($E20-$D20)*(N$1-2025)/5,IF(N$1&lt;=2035,$E20+($F20-$E20)*(N$1-2030)/5,$F20+($G20-$F20)*(N$1-2035)/5))</f>
        <v>3.26</v>
      </c>
      <c r="O20" s="0" t="n">
        <f aca="false">IF(O$1&lt;=2030,$D20+($E20-$D20)*(O$1-2025)/5,IF(O$1&lt;=2035,$E20+($F20-$E20)*(O$1-2030)/5,$F20+($G20-$F20)*(O$1-2035)/5))</f>
        <v>3.32</v>
      </c>
      <c r="P20" s="0" t="n">
        <f aca="false">IF(P$1&lt;=2030,$D20+($E20-$D20)*(P$1-2025)/5,IF(P$1&lt;=2035,$E20+($F20-$E20)*(P$1-2030)/5,$F20+($G20-$F20)*(P$1-2035)/5))</f>
        <v>3.38</v>
      </c>
      <c r="Q20" s="0" t="n">
        <f aca="false">IF(Q$1&lt;=2030,$D20+($E20-$D20)*(Q$1-2025)/5,IF(Q$1&lt;=2035,$E20+($F20-$E20)*(Q$1-2030)/5,$F20+($G20-$F20)*(Q$1-2035)/5))</f>
        <v>3.44</v>
      </c>
      <c r="R20" s="0" t="n">
        <f aca="false">IF(R$1&lt;=2030,$D20+($E20-$D20)*(R$1-2025)/5,IF(R$1&lt;=2035,$E20+($F20-$E20)*(R$1-2030)/5,$F20+($G20-$F20)*(R$1-2035)/5))</f>
        <v>3.5</v>
      </c>
      <c r="S20" s="0" t="n">
        <f aca="false">IF(S$1&lt;=2030,$D20+($E20-$D20)*(S$1-2025)/5,IF(S$1&lt;=2035,$E20+($F20-$E20)*(S$1-2030)/5,$F20+($G20-$F20)*(S$1-2035)/5))</f>
        <v>3.56</v>
      </c>
      <c r="T20" s="0" t="n">
        <f aca="false">IF(T$1&lt;=2030,$D20+($E20-$D20)*(T$1-2025)/5,IF(T$1&lt;=2035,$E20+($F20-$E20)*(T$1-2030)/5,$F20+($G20-$F20)*(T$1-2035)/5))</f>
        <v>3.62</v>
      </c>
      <c r="U20" s="0" t="n">
        <f aca="false">IF(U$1&lt;=2030,$D20+($E20-$D20)*(U$1-2025)/5,IF(U$1&lt;=2035,$E20+($F20-$E20)*(U$1-2030)/5,$F20+($G20-$F20)*(U$1-2035)/5))</f>
        <v>3.68</v>
      </c>
      <c r="V20" s="0" t="n">
        <f aca="false">IF(V$1&lt;=2030,$D20+($E20-$D20)*(V$1-2025)/5,IF(V$1&lt;=2035,$E20+($F20-$E20)*(V$1-2030)/5,$F20+($G20-$F20)*(V$1-2035)/5))</f>
        <v>3.74</v>
      </c>
      <c r="W20" s="0" t="n">
        <f aca="false">IF(W$1&lt;=2030,$D20+($E20-$D20)*(W$1-2025)/5,IF(W$1&lt;=2035,$E20+($F20-$E20)*(W$1-2030)/5,$F20+($G20-$F20)*(W$1-2035)/5))</f>
        <v>3.8</v>
      </c>
    </row>
    <row r="21" customFormat="false" ht="15" hidden="false" customHeight="false" outlineLevel="0" collapsed="false">
      <c r="A21" s="0" t="s">
        <v>71</v>
      </c>
      <c r="B21" s="0" t="s">
        <v>51</v>
      </c>
      <c r="C21" s="0" t="n">
        <f aca="false">IFERROR(MATCH(A21&amp;"|"&amp;B21&amp;"|"&amp;Control!$B$3,Assumptions!$A$2:$A$112,0),MATCH(A21&amp;"|"&amp;B21&amp;"|All",Assumptions!$A$2:$A$112,0))</f>
        <v>34</v>
      </c>
      <c r="D21" s="0" t="n">
        <f aca="false">INDEX(Assumptions!$E$2:$E$112,$C21)</f>
        <v>8</v>
      </c>
      <c r="E21" s="0" t="n">
        <f aca="false">INDEX(Assumptions!$F$2:$F$112,$C21)</f>
        <v>10</v>
      </c>
      <c r="F21" s="0" t="n">
        <f aca="false">INDEX(Assumptions!$G$2:$G$112,$C21)</f>
        <v>11</v>
      </c>
      <c r="G21" s="0" t="n">
        <f aca="false">INDEX(Assumptions!$H$2:$H$112,$C21)</f>
        <v>12</v>
      </c>
      <c r="H21" s="0" t="n">
        <f aca="false">IF(H$1&lt;=2030,$D21+($E21-$D21)*(H$1-2025)/5,IF(H$1&lt;=2035,$E21+($F21-$E21)*(H$1-2030)/5,$F21+($G21-$F21)*(H$1-2035)/5))</f>
        <v>8</v>
      </c>
      <c r="I21" s="0" t="n">
        <f aca="false">IF(I$1&lt;=2030,$D21+($E21-$D21)*(I$1-2025)/5,IF(I$1&lt;=2035,$E21+($F21-$E21)*(I$1-2030)/5,$F21+($G21-$F21)*(I$1-2035)/5))</f>
        <v>8.4</v>
      </c>
      <c r="J21" s="0" t="n">
        <f aca="false">IF(J$1&lt;=2030,$D21+($E21-$D21)*(J$1-2025)/5,IF(J$1&lt;=2035,$E21+($F21-$E21)*(J$1-2030)/5,$F21+($G21-$F21)*(J$1-2035)/5))</f>
        <v>8.8</v>
      </c>
      <c r="K21" s="0" t="n">
        <f aca="false">IF(K$1&lt;=2030,$D21+($E21-$D21)*(K$1-2025)/5,IF(K$1&lt;=2035,$E21+($F21-$E21)*(K$1-2030)/5,$F21+($G21-$F21)*(K$1-2035)/5))</f>
        <v>9.2</v>
      </c>
      <c r="L21" s="0" t="n">
        <f aca="false">IF(L$1&lt;=2030,$D21+($E21-$D21)*(L$1-2025)/5,IF(L$1&lt;=2035,$E21+($F21-$E21)*(L$1-2030)/5,$F21+($G21-$F21)*(L$1-2035)/5))</f>
        <v>9.6</v>
      </c>
      <c r="M21" s="0" t="n">
        <f aca="false">IF(M$1&lt;=2030,$D21+($E21-$D21)*(M$1-2025)/5,IF(M$1&lt;=2035,$E21+($F21-$E21)*(M$1-2030)/5,$F21+($G21-$F21)*(M$1-2035)/5))</f>
        <v>10</v>
      </c>
      <c r="N21" s="0" t="n">
        <f aca="false">IF(N$1&lt;=2030,$D21+($E21-$D21)*(N$1-2025)/5,IF(N$1&lt;=2035,$E21+($F21-$E21)*(N$1-2030)/5,$F21+($G21-$F21)*(N$1-2035)/5))</f>
        <v>10.2</v>
      </c>
      <c r="O21" s="0" t="n">
        <f aca="false">IF(O$1&lt;=2030,$D21+($E21-$D21)*(O$1-2025)/5,IF(O$1&lt;=2035,$E21+($F21-$E21)*(O$1-2030)/5,$F21+($G21-$F21)*(O$1-2035)/5))</f>
        <v>10.4</v>
      </c>
      <c r="P21" s="0" t="n">
        <f aca="false">IF(P$1&lt;=2030,$D21+($E21-$D21)*(P$1-2025)/5,IF(P$1&lt;=2035,$E21+($F21-$E21)*(P$1-2030)/5,$F21+($G21-$F21)*(P$1-2035)/5))</f>
        <v>10.6</v>
      </c>
      <c r="Q21" s="0" t="n">
        <f aca="false">IF(Q$1&lt;=2030,$D21+($E21-$D21)*(Q$1-2025)/5,IF(Q$1&lt;=2035,$E21+($F21-$E21)*(Q$1-2030)/5,$F21+($G21-$F21)*(Q$1-2035)/5))</f>
        <v>10.8</v>
      </c>
      <c r="R21" s="0" t="n">
        <f aca="false">IF(R$1&lt;=2030,$D21+($E21-$D21)*(R$1-2025)/5,IF(R$1&lt;=2035,$E21+($F21-$E21)*(R$1-2030)/5,$F21+($G21-$F21)*(R$1-2035)/5))</f>
        <v>11</v>
      </c>
      <c r="S21" s="0" t="n">
        <f aca="false">IF(S$1&lt;=2030,$D21+($E21-$D21)*(S$1-2025)/5,IF(S$1&lt;=2035,$E21+($F21-$E21)*(S$1-2030)/5,$F21+($G21-$F21)*(S$1-2035)/5))</f>
        <v>11.2</v>
      </c>
      <c r="T21" s="0" t="n">
        <f aca="false">IF(T$1&lt;=2030,$D21+($E21-$D21)*(T$1-2025)/5,IF(T$1&lt;=2035,$E21+($F21-$E21)*(T$1-2030)/5,$F21+($G21-$F21)*(T$1-2035)/5))</f>
        <v>11.4</v>
      </c>
      <c r="U21" s="0" t="n">
        <f aca="false">IF(U$1&lt;=2030,$D21+($E21-$D21)*(U$1-2025)/5,IF(U$1&lt;=2035,$E21+($F21-$E21)*(U$1-2030)/5,$F21+($G21-$F21)*(U$1-2035)/5))</f>
        <v>11.6</v>
      </c>
      <c r="V21" s="0" t="n">
        <f aca="false">IF(V$1&lt;=2030,$D21+($E21-$D21)*(V$1-2025)/5,IF(V$1&lt;=2035,$E21+($F21-$E21)*(V$1-2030)/5,$F21+($G21-$F21)*(V$1-2035)/5))</f>
        <v>11.8</v>
      </c>
      <c r="W21" s="0" t="n">
        <f aca="false">IF(W$1&lt;=2030,$D21+($E21-$D21)*(W$1-2025)/5,IF(W$1&lt;=2035,$E21+($F21-$E21)*(W$1-2030)/5,$F21+($G21-$F21)*(W$1-2035)/5))</f>
        <v>12</v>
      </c>
    </row>
    <row r="22" customFormat="false" ht="15" hidden="false" customHeight="false" outlineLevel="0" collapsed="false">
      <c r="A22" s="0" t="s">
        <v>71</v>
      </c>
      <c r="B22" s="0" t="s">
        <v>53</v>
      </c>
      <c r="C22" s="0" t="n">
        <f aca="false">IFERROR(MATCH(A22&amp;"|"&amp;B22&amp;"|"&amp;Control!$B$3,Assumptions!$A$2:$A$112,0),MATCH(A22&amp;"|"&amp;B22&amp;"|All",Assumptions!$A$2:$A$112,0))</f>
        <v>35</v>
      </c>
      <c r="D22" s="0" t="n">
        <f aca="false">INDEX(Assumptions!$E$2:$E$112,$C22)</f>
        <v>5</v>
      </c>
      <c r="E22" s="0" t="n">
        <f aca="false">INDEX(Assumptions!$F$2:$F$112,$C22)</f>
        <v>6</v>
      </c>
      <c r="F22" s="0" t="n">
        <f aca="false">INDEX(Assumptions!$G$2:$G$112,$C22)</f>
        <v>6.5</v>
      </c>
      <c r="G22" s="0" t="n">
        <f aca="false">INDEX(Assumptions!$H$2:$H$112,$C22)</f>
        <v>7</v>
      </c>
      <c r="H22" s="0" t="n">
        <f aca="false">IF(H$1&lt;=2030,$D22+($E22-$D22)*(H$1-2025)/5,IF(H$1&lt;=2035,$E22+($F22-$E22)*(H$1-2030)/5,$F22+($G22-$F22)*(H$1-2035)/5))</f>
        <v>5</v>
      </c>
      <c r="I22" s="0" t="n">
        <f aca="false">IF(I$1&lt;=2030,$D22+($E22-$D22)*(I$1-2025)/5,IF(I$1&lt;=2035,$E22+($F22-$E22)*(I$1-2030)/5,$F22+($G22-$F22)*(I$1-2035)/5))</f>
        <v>5.2</v>
      </c>
      <c r="J22" s="0" t="n">
        <f aca="false">IF(J$1&lt;=2030,$D22+($E22-$D22)*(J$1-2025)/5,IF(J$1&lt;=2035,$E22+($F22-$E22)*(J$1-2030)/5,$F22+($G22-$F22)*(J$1-2035)/5))</f>
        <v>5.4</v>
      </c>
      <c r="K22" s="0" t="n">
        <f aca="false">IF(K$1&lt;=2030,$D22+($E22-$D22)*(K$1-2025)/5,IF(K$1&lt;=2035,$E22+($F22-$E22)*(K$1-2030)/5,$F22+($G22-$F22)*(K$1-2035)/5))</f>
        <v>5.6</v>
      </c>
      <c r="L22" s="0" t="n">
        <f aca="false">IF(L$1&lt;=2030,$D22+($E22-$D22)*(L$1-2025)/5,IF(L$1&lt;=2035,$E22+($F22-$E22)*(L$1-2030)/5,$F22+($G22-$F22)*(L$1-2035)/5))</f>
        <v>5.8</v>
      </c>
      <c r="M22" s="0" t="n">
        <f aca="false">IF(M$1&lt;=2030,$D22+($E22-$D22)*(M$1-2025)/5,IF(M$1&lt;=2035,$E22+($F22-$E22)*(M$1-2030)/5,$F22+($G22-$F22)*(M$1-2035)/5))</f>
        <v>6</v>
      </c>
      <c r="N22" s="0" t="n">
        <f aca="false">IF(N$1&lt;=2030,$D22+($E22-$D22)*(N$1-2025)/5,IF(N$1&lt;=2035,$E22+($F22-$E22)*(N$1-2030)/5,$F22+($G22-$F22)*(N$1-2035)/5))</f>
        <v>6.1</v>
      </c>
      <c r="O22" s="0" t="n">
        <f aca="false">IF(O$1&lt;=2030,$D22+($E22-$D22)*(O$1-2025)/5,IF(O$1&lt;=2035,$E22+($F22-$E22)*(O$1-2030)/5,$F22+($G22-$F22)*(O$1-2035)/5))</f>
        <v>6.2</v>
      </c>
      <c r="P22" s="0" t="n">
        <f aca="false">IF(P$1&lt;=2030,$D22+($E22-$D22)*(P$1-2025)/5,IF(P$1&lt;=2035,$E22+($F22-$E22)*(P$1-2030)/5,$F22+($G22-$F22)*(P$1-2035)/5))</f>
        <v>6.3</v>
      </c>
      <c r="Q22" s="0" t="n">
        <f aca="false">IF(Q$1&lt;=2030,$D22+($E22-$D22)*(Q$1-2025)/5,IF(Q$1&lt;=2035,$E22+($F22-$E22)*(Q$1-2030)/5,$F22+($G22-$F22)*(Q$1-2035)/5))</f>
        <v>6.4</v>
      </c>
      <c r="R22" s="0" t="n">
        <f aca="false">IF(R$1&lt;=2030,$D22+($E22-$D22)*(R$1-2025)/5,IF(R$1&lt;=2035,$E22+($F22-$E22)*(R$1-2030)/5,$F22+($G22-$F22)*(R$1-2035)/5))</f>
        <v>6.5</v>
      </c>
      <c r="S22" s="0" t="n">
        <f aca="false">IF(S$1&lt;=2030,$D22+($E22-$D22)*(S$1-2025)/5,IF(S$1&lt;=2035,$E22+($F22-$E22)*(S$1-2030)/5,$F22+($G22-$F22)*(S$1-2035)/5))</f>
        <v>6.6</v>
      </c>
      <c r="T22" s="0" t="n">
        <f aca="false">IF(T$1&lt;=2030,$D22+($E22-$D22)*(T$1-2025)/5,IF(T$1&lt;=2035,$E22+($F22-$E22)*(T$1-2030)/5,$F22+($G22-$F22)*(T$1-2035)/5))</f>
        <v>6.7</v>
      </c>
      <c r="U22" s="0" t="n">
        <f aca="false">IF(U$1&lt;=2030,$D22+($E22-$D22)*(U$1-2025)/5,IF(U$1&lt;=2035,$E22+($F22-$E22)*(U$1-2030)/5,$F22+($G22-$F22)*(U$1-2035)/5))</f>
        <v>6.8</v>
      </c>
      <c r="V22" s="0" t="n">
        <f aca="false">IF(V$1&lt;=2030,$D22+($E22-$D22)*(V$1-2025)/5,IF(V$1&lt;=2035,$E22+($F22-$E22)*(V$1-2030)/5,$F22+($G22-$F22)*(V$1-2035)/5))</f>
        <v>6.9</v>
      </c>
      <c r="W22" s="0" t="n">
        <f aca="false">IF(W$1&lt;=2030,$D22+($E22-$D22)*(W$1-2025)/5,IF(W$1&lt;=2035,$E22+($F22-$E22)*(W$1-2030)/5,$F22+($G22-$F22)*(W$1-2035)/5))</f>
        <v>7</v>
      </c>
    </row>
    <row r="23" customFormat="false" ht="15" hidden="false" customHeight="false" outlineLevel="0" collapsed="false">
      <c r="A23" s="0" t="s">
        <v>71</v>
      </c>
      <c r="B23" s="0" t="s">
        <v>55</v>
      </c>
      <c r="C23" s="0" t="n">
        <f aca="false">IFERROR(MATCH(A23&amp;"|"&amp;B23&amp;"|"&amp;Control!$B$3,Assumptions!$A$2:$A$112,0),MATCH(A23&amp;"|"&amp;B23&amp;"|All",Assumptions!$A$2:$A$112,0))</f>
        <v>36</v>
      </c>
      <c r="D23" s="0" t="n">
        <f aca="false">INDEX(Assumptions!$E$2:$E$112,$C23)</f>
        <v>38</v>
      </c>
      <c r="E23" s="0" t="n">
        <f aca="false">INDEX(Assumptions!$F$2:$F$112,$C23)</f>
        <v>42</v>
      </c>
      <c r="F23" s="0" t="n">
        <f aca="false">INDEX(Assumptions!$G$2:$G$112,$C23)</f>
        <v>45</v>
      </c>
      <c r="G23" s="0" t="n">
        <f aca="false">INDEX(Assumptions!$H$2:$H$112,$C23)</f>
        <v>48</v>
      </c>
      <c r="H23" s="0" t="n">
        <f aca="false">IF(H$1&lt;=2030,$D23+($E23-$D23)*(H$1-2025)/5,IF(H$1&lt;=2035,$E23+($F23-$E23)*(H$1-2030)/5,$F23+($G23-$F23)*(H$1-2035)/5))</f>
        <v>38</v>
      </c>
      <c r="I23" s="0" t="n">
        <f aca="false">IF(I$1&lt;=2030,$D23+($E23-$D23)*(I$1-2025)/5,IF(I$1&lt;=2035,$E23+($F23-$E23)*(I$1-2030)/5,$F23+($G23-$F23)*(I$1-2035)/5))</f>
        <v>38.8</v>
      </c>
      <c r="J23" s="0" t="n">
        <f aca="false">IF(J$1&lt;=2030,$D23+($E23-$D23)*(J$1-2025)/5,IF(J$1&lt;=2035,$E23+($F23-$E23)*(J$1-2030)/5,$F23+($G23-$F23)*(J$1-2035)/5))</f>
        <v>39.6</v>
      </c>
      <c r="K23" s="0" t="n">
        <f aca="false">IF(K$1&lt;=2030,$D23+($E23-$D23)*(K$1-2025)/5,IF(K$1&lt;=2035,$E23+($F23-$E23)*(K$1-2030)/5,$F23+($G23-$F23)*(K$1-2035)/5))</f>
        <v>40.4</v>
      </c>
      <c r="L23" s="0" t="n">
        <f aca="false">IF(L$1&lt;=2030,$D23+($E23-$D23)*(L$1-2025)/5,IF(L$1&lt;=2035,$E23+($F23-$E23)*(L$1-2030)/5,$F23+($G23-$F23)*(L$1-2035)/5))</f>
        <v>41.2</v>
      </c>
      <c r="M23" s="0" t="n">
        <f aca="false">IF(M$1&lt;=2030,$D23+($E23-$D23)*(M$1-2025)/5,IF(M$1&lt;=2035,$E23+($F23-$E23)*(M$1-2030)/5,$F23+($G23-$F23)*(M$1-2035)/5))</f>
        <v>42</v>
      </c>
      <c r="N23" s="0" t="n">
        <f aca="false">IF(N$1&lt;=2030,$D23+($E23-$D23)*(N$1-2025)/5,IF(N$1&lt;=2035,$E23+($F23-$E23)*(N$1-2030)/5,$F23+($G23-$F23)*(N$1-2035)/5))</f>
        <v>42.6</v>
      </c>
      <c r="O23" s="0" t="n">
        <f aca="false">IF(O$1&lt;=2030,$D23+($E23-$D23)*(O$1-2025)/5,IF(O$1&lt;=2035,$E23+($F23-$E23)*(O$1-2030)/5,$F23+($G23-$F23)*(O$1-2035)/5))</f>
        <v>43.2</v>
      </c>
      <c r="P23" s="0" t="n">
        <f aca="false">IF(P$1&lt;=2030,$D23+($E23-$D23)*(P$1-2025)/5,IF(P$1&lt;=2035,$E23+($F23-$E23)*(P$1-2030)/5,$F23+($G23-$F23)*(P$1-2035)/5))</f>
        <v>43.8</v>
      </c>
      <c r="Q23" s="0" t="n">
        <f aca="false">IF(Q$1&lt;=2030,$D23+($E23-$D23)*(Q$1-2025)/5,IF(Q$1&lt;=2035,$E23+($F23-$E23)*(Q$1-2030)/5,$F23+($G23-$F23)*(Q$1-2035)/5))</f>
        <v>44.4</v>
      </c>
      <c r="R23" s="0" t="n">
        <f aca="false">IF(R$1&lt;=2030,$D23+($E23-$D23)*(R$1-2025)/5,IF(R$1&lt;=2035,$E23+($F23-$E23)*(R$1-2030)/5,$F23+($G23-$F23)*(R$1-2035)/5))</f>
        <v>45</v>
      </c>
      <c r="S23" s="0" t="n">
        <f aca="false">IF(S$1&lt;=2030,$D23+($E23-$D23)*(S$1-2025)/5,IF(S$1&lt;=2035,$E23+($F23-$E23)*(S$1-2030)/5,$F23+($G23-$F23)*(S$1-2035)/5))</f>
        <v>45.6</v>
      </c>
      <c r="T23" s="0" t="n">
        <f aca="false">IF(T$1&lt;=2030,$D23+($E23-$D23)*(T$1-2025)/5,IF(T$1&lt;=2035,$E23+($F23-$E23)*(T$1-2030)/5,$F23+($G23-$F23)*(T$1-2035)/5))</f>
        <v>46.2</v>
      </c>
      <c r="U23" s="0" t="n">
        <f aca="false">IF(U$1&lt;=2030,$D23+($E23-$D23)*(U$1-2025)/5,IF(U$1&lt;=2035,$E23+($F23-$E23)*(U$1-2030)/5,$F23+($G23-$F23)*(U$1-2035)/5))</f>
        <v>46.8</v>
      </c>
      <c r="V23" s="0" t="n">
        <f aca="false">IF(V$1&lt;=2030,$D23+($E23-$D23)*(V$1-2025)/5,IF(V$1&lt;=2035,$E23+($F23-$E23)*(V$1-2030)/5,$F23+($G23-$F23)*(V$1-2035)/5))</f>
        <v>47.4</v>
      </c>
      <c r="W23" s="0" t="n">
        <f aca="false">IF(W$1&lt;=2030,$D23+($E23-$D23)*(W$1-2025)/5,IF(W$1&lt;=2035,$E23+($F23-$E23)*(W$1-2030)/5,$F23+($G23-$F23)*(W$1-2035)/5))</f>
        <v>48</v>
      </c>
    </row>
    <row r="24" customFormat="false" ht="15" hidden="false" customHeight="false" outlineLevel="0" collapsed="false">
      <c r="A24" s="0" t="s">
        <v>71</v>
      </c>
      <c r="B24" s="0" t="s">
        <v>57</v>
      </c>
      <c r="C24" s="0" t="n">
        <f aca="false">IFERROR(MATCH(A24&amp;"|"&amp;B24&amp;"|"&amp;Control!$B$3,Assumptions!$A$2:$A$112,0),MATCH(A24&amp;"|"&amp;B24&amp;"|All",Assumptions!$A$2:$A$112,0))</f>
        <v>37</v>
      </c>
      <c r="D24" s="0" t="n">
        <f aca="false">INDEX(Assumptions!$E$2:$E$112,$C24)</f>
        <v>280</v>
      </c>
      <c r="E24" s="0" t="n">
        <f aca="false">INDEX(Assumptions!$F$2:$F$112,$C24)</f>
        <v>320</v>
      </c>
      <c r="F24" s="0" t="n">
        <f aca="false">INDEX(Assumptions!$G$2:$G$112,$C24)</f>
        <v>350</v>
      </c>
      <c r="G24" s="0" t="n">
        <f aca="false">INDEX(Assumptions!$H$2:$H$112,$C24)</f>
        <v>380</v>
      </c>
      <c r="H24" s="0" t="n">
        <f aca="false">IF(H$1&lt;=2030,$D24+($E24-$D24)*(H$1-2025)/5,IF(H$1&lt;=2035,$E24+($F24-$E24)*(H$1-2030)/5,$F24+($G24-$F24)*(H$1-2035)/5))</f>
        <v>280</v>
      </c>
      <c r="I24" s="0" t="n">
        <f aca="false">IF(I$1&lt;=2030,$D24+($E24-$D24)*(I$1-2025)/5,IF(I$1&lt;=2035,$E24+($F24-$E24)*(I$1-2030)/5,$F24+($G24-$F24)*(I$1-2035)/5))</f>
        <v>288</v>
      </c>
      <c r="J24" s="0" t="n">
        <f aca="false">IF(J$1&lt;=2030,$D24+($E24-$D24)*(J$1-2025)/5,IF(J$1&lt;=2035,$E24+($F24-$E24)*(J$1-2030)/5,$F24+($G24-$F24)*(J$1-2035)/5))</f>
        <v>296</v>
      </c>
      <c r="K24" s="0" t="n">
        <f aca="false">IF(K$1&lt;=2030,$D24+($E24-$D24)*(K$1-2025)/5,IF(K$1&lt;=2035,$E24+($F24-$E24)*(K$1-2030)/5,$F24+($G24-$F24)*(K$1-2035)/5))</f>
        <v>304</v>
      </c>
      <c r="L24" s="0" t="n">
        <f aca="false">IF(L$1&lt;=2030,$D24+($E24-$D24)*(L$1-2025)/5,IF(L$1&lt;=2035,$E24+($F24-$E24)*(L$1-2030)/5,$F24+($G24-$F24)*(L$1-2035)/5))</f>
        <v>312</v>
      </c>
      <c r="M24" s="0" t="n">
        <f aca="false">IF(M$1&lt;=2030,$D24+($E24-$D24)*(M$1-2025)/5,IF(M$1&lt;=2035,$E24+($F24-$E24)*(M$1-2030)/5,$F24+($G24-$F24)*(M$1-2035)/5))</f>
        <v>320</v>
      </c>
      <c r="N24" s="0" t="n">
        <f aca="false">IF(N$1&lt;=2030,$D24+($E24-$D24)*(N$1-2025)/5,IF(N$1&lt;=2035,$E24+($F24-$E24)*(N$1-2030)/5,$F24+($G24-$F24)*(N$1-2035)/5))</f>
        <v>326</v>
      </c>
      <c r="O24" s="0" t="n">
        <f aca="false">IF(O$1&lt;=2030,$D24+($E24-$D24)*(O$1-2025)/5,IF(O$1&lt;=2035,$E24+($F24-$E24)*(O$1-2030)/5,$F24+($G24-$F24)*(O$1-2035)/5))</f>
        <v>332</v>
      </c>
      <c r="P24" s="0" t="n">
        <f aca="false">IF(P$1&lt;=2030,$D24+($E24-$D24)*(P$1-2025)/5,IF(P$1&lt;=2035,$E24+($F24-$E24)*(P$1-2030)/5,$F24+($G24-$F24)*(P$1-2035)/5))</f>
        <v>338</v>
      </c>
      <c r="Q24" s="0" t="n">
        <f aca="false">IF(Q$1&lt;=2030,$D24+($E24-$D24)*(Q$1-2025)/5,IF(Q$1&lt;=2035,$E24+($F24-$E24)*(Q$1-2030)/5,$F24+($G24-$F24)*(Q$1-2035)/5))</f>
        <v>344</v>
      </c>
      <c r="R24" s="0" t="n">
        <f aca="false">IF(R$1&lt;=2030,$D24+($E24-$D24)*(R$1-2025)/5,IF(R$1&lt;=2035,$E24+($F24-$E24)*(R$1-2030)/5,$F24+($G24-$F24)*(R$1-2035)/5))</f>
        <v>350</v>
      </c>
      <c r="S24" s="0" t="n">
        <f aca="false">IF(S$1&lt;=2030,$D24+($E24-$D24)*(S$1-2025)/5,IF(S$1&lt;=2035,$E24+($F24-$E24)*(S$1-2030)/5,$F24+($G24-$F24)*(S$1-2035)/5))</f>
        <v>356</v>
      </c>
      <c r="T24" s="0" t="n">
        <f aca="false">IF(T$1&lt;=2030,$D24+($E24-$D24)*(T$1-2025)/5,IF(T$1&lt;=2035,$E24+($F24-$E24)*(T$1-2030)/5,$F24+($G24-$F24)*(T$1-2035)/5))</f>
        <v>362</v>
      </c>
      <c r="U24" s="0" t="n">
        <f aca="false">IF(U$1&lt;=2030,$D24+($E24-$D24)*(U$1-2025)/5,IF(U$1&lt;=2035,$E24+($F24-$E24)*(U$1-2030)/5,$F24+($G24-$F24)*(U$1-2035)/5))</f>
        <v>368</v>
      </c>
      <c r="V24" s="0" t="n">
        <f aca="false">IF(V$1&lt;=2030,$D24+($E24-$D24)*(V$1-2025)/5,IF(V$1&lt;=2035,$E24+($F24-$E24)*(V$1-2030)/5,$F24+($G24-$F24)*(V$1-2035)/5))</f>
        <v>374</v>
      </c>
      <c r="W24" s="0" t="n">
        <f aca="false">IF(W$1&lt;=2030,$D24+($E24-$D24)*(W$1-2025)/5,IF(W$1&lt;=2035,$E24+($F24-$E24)*(W$1-2030)/5,$F24+($G24-$F24)*(W$1-2035)/5))</f>
        <v>380</v>
      </c>
    </row>
    <row r="25" customFormat="false" ht="15" hidden="false" customHeight="false" outlineLevel="0" collapsed="false">
      <c r="A25" s="0" t="s">
        <v>71</v>
      </c>
      <c r="B25" s="0" t="s">
        <v>58</v>
      </c>
      <c r="C25" s="0" t="n">
        <f aca="false">IFERROR(MATCH(A25&amp;"|"&amp;B25&amp;"|"&amp;Control!$B$3,Assumptions!$A$2:$A$112,0),MATCH(A25&amp;"|"&amp;B25&amp;"|All",Assumptions!$A$2:$A$112,0))</f>
        <v>38</v>
      </c>
      <c r="D25" s="0" t="n">
        <f aca="false">INDEX(Assumptions!$E$2:$E$112,$C25)</f>
        <v>40</v>
      </c>
      <c r="E25" s="0" t="n">
        <f aca="false">INDEX(Assumptions!$F$2:$F$112,$C25)</f>
        <v>60</v>
      </c>
      <c r="F25" s="0" t="n">
        <f aca="false">INDEX(Assumptions!$G$2:$G$112,$C25)</f>
        <v>90</v>
      </c>
      <c r="G25" s="0" t="n">
        <f aca="false">INDEX(Assumptions!$H$2:$H$112,$C25)</f>
        <v>120</v>
      </c>
      <c r="H25" s="0" t="n">
        <f aca="false">IF(H$1&lt;=2030,$D25+($E25-$D25)*(H$1-2025)/5,IF(H$1&lt;=2035,$E25+($F25-$E25)*(H$1-2030)/5,$F25+($G25-$F25)*(H$1-2035)/5))</f>
        <v>40</v>
      </c>
      <c r="I25" s="0" t="n">
        <f aca="false">IF(I$1&lt;=2030,$D25+($E25-$D25)*(I$1-2025)/5,IF(I$1&lt;=2035,$E25+($F25-$E25)*(I$1-2030)/5,$F25+($G25-$F25)*(I$1-2035)/5))</f>
        <v>44</v>
      </c>
      <c r="J25" s="0" t="n">
        <f aca="false">IF(J$1&lt;=2030,$D25+($E25-$D25)*(J$1-2025)/5,IF(J$1&lt;=2035,$E25+($F25-$E25)*(J$1-2030)/5,$F25+($G25-$F25)*(J$1-2035)/5))</f>
        <v>48</v>
      </c>
      <c r="K25" s="0" t="n">
        <f aca="false">IF(K$1&lt;=2030,$D25+($E25-$D25)*(K$1-2025)/5,IF(K$1&lt;=2035,$E25+($F25-$E25)*(K$1-2030)/5,$F25+($G25-$F25)*(K$1-2035)/5))</f>
        <v>52</v>
      </c>
      <c r="L25" s="0" t="n">
        <f aca="false">IF(L$1&lt;=2030,$D25+($E25-$D25)*(L$1-2025)/5,IF(L$1&lt;=2035,$E25+($F25-$E25)*(L$1-2030)/5,$F25+($G25-$F25)*(L$1-2035)/5))</f>
        <v>56</v>
      </c>
      <c r="M25" s="0" t="n">
        <f aca="false">IF(M$1&lt;=2030,$D25+($E25-$D25)*(M$1-2025)/5,IF(M$1&lt;=2035,$E25+($F25-$E25)*(M$1-2030)/5,$F25+($G25-$F25)*(M$1-2035)/5))</f>
        <v>60</v>
      </c>
      <c r="N25" s="0" t="n">
        <f aca="false">IF(N$1&lt;=2030,$D25+($E25-$D25)*(N$1-2025)/5,IF(N$1&lt;=2035,$E25+($F25-$E25)*(N$1-2030)/5,$F25+($G25-$F25)*(N$1-2035)/5))</f>
        <v>66</v>
      </c>
      <c r="O25" s="0" t="n">
        <f aca="false">IF(O$1&lt;=2030,$D25+($E25-$D25)*(O$1-2025)/5,IF(O$1&lt;=2035,$E25+($F25-$E25)*(O$1-2030)/5,$F25+($G25-$F25)*(O$1-2035)/5))</f>
        <v>72</v>
      </c>
      <c r="P25" s="0" t="n">
        <f aca="false">IF(P$1&lt;=2030,$D25+($E25-$D25)*(P$1-2025)/5,IF(P$1&lt;=2035,$E25+($F25-$E25)*(P$1-2030)/5,$F25+($G25-$F25)*(P$1-2035)/5))</f>
        <v>78</v>
      </c>
      <c r="Q25" s="0" t="n">
        <f aca="false">IF(Q$1&lt;=2030,$D25+($E25-$D25)*(Q$1-2025)/5,IF(Q$1&lt;=2035,$E25+($F25-$E25)*(Q$1-2030)/5,$F25+($G25-$F25)*(Q$1-2035)/5))</f>
        <v>84</v>
      </c>
      <c r="R25" s="0" t="n">
        <f aca="false">IF(R$1&lt;=2030,$D25+($E25-$D25)*(R$1-2025)/5,IF(R$1&lt;=2035,$E25+($F25-$E25)*(R$1-2030)/5,$F25+($G25-$F25)*(R$1-2035)/5))</f>
        <v>90</v>
      </c>
      <c r="S25" s="0" t="n">
        <f aca="false">IF(S$1&lt;=2030,$D25+($E25-$D25)*(S$1-2025)/5,IF(S$1&lt;=2035,$E25+($F25-$E25)*(S$1-2030)/5,$F25+($G25-$F25)*(S$1-2035)/5))</f>
        <v>96</v>
      </c>
      <c r="T25" s="0" t="n">
        <f aca="false">IF(T$1&lt;=2030,$D25+($E25-$D25)*(T$1-2025)/5,IF(T$1&lt;=2035,$E25+($F25-$E25)*(T$1-2030)/5,$F25+($G25-$F25)*(T$1-2035)/5))</f>
        <v>102</v>
      </c>
      <c r="U25" s="0" t="n">
        <f aca="false">IF(U$1&lt;=2030,$D25+($E25-$D25)*(U$1-2025)/5,IF(U$1&lt;=2035,$E25+($F25-$E25)*(U$1-2030)/5,$F25+($G25-$F25)*(U$1-2035)/5))</f>
        <v>108</v>
      </c>
      <c r="V25" s="0" t="n">
        <f aca="false">IF(V$1&lt;=2030,$D25+($E25-$D25)*(V$1-2025)/5,IF(V$1&lt;=2035,$E25+($F25-$E25)*(V$1-2030)/5,$F25+($G25-$F25)*(V$1-2035)/5))</f>
        <v>114</v>
      </c>
      <c r="W25" s="0" t="n">
        <f aca="false">IF(W$1&lt;=2030,$D25+($E25-$D25)*(W$1-2025)/5,IF(W$1&lt;=2035,$E25+($F25-$E25)*(W$1-2030)/5,$F25+($G25-$F25)*(W$1-2035)/5))</f>
        <v>120</v>
      </c>
    </row>
    <row r="26" customFormat="false" ht="15" hidden="false" customHeight="false" outlineLevel="0" collapsed="false">
      <c r="A26" s="0" t="s">
        <v>75</v>
      </c>
      <c r="B26" s="0" t="s">
        <v>46</v>
      </c>
      <c r="C26" s="0" t="n">
        <f aca="false">IFERROR(MATCH(A26&amp;"|"&amp;B26&amp;"|"&amp;Control!$B$3,Assumptions!$A$2:$A$112,0),MATCH(A26&amp;"|"&amp;B26&amp;"|All",Assumptions!$A$2:$A$112,0))</f>
        <v>39</v>
      </c>
      <c r="D26" s="0" t="n">
        <f aca="false">INDEX(Assumptions!$E$2:$E$112,$C26)</f>
        <v>0.6</v>
      </c>
      <c r="E26" s="0" t="n">
        <f aca="false">INDEX(Assumptions!$F$2:$F$112,$C26)</f>
        <v>0.7</v>
      </c>
      <c r="F26" s="0" t="n">
        <f aca="false">INDEX(Assumptions!$G$2:$G$112,$C26)</f>
        <v>0.75</v>
      </c>
      <c r="G26" s="0" t="n">
        <f aca="false">INDEX(Assumptions!$H$2:$H$112,$C26)</f>
        <v>0.8</v>
      </c>
      <c r="H26" s="0" t="n">
        <f aca="false">IF(H$1&lt;=2030,$D26+($E26-$D26)*(H$1-2025)/5,IF(H$1&lt;=2035,$E26+($F26-$E26)*(H$1-2030)/5,$F26+($G26-$F26)*(H$1-2035)/5))</f>
        <v>0.6</v>
      </c>
      <c r="I26" s="0" t="n">
        <f aca="false">IF(I$1&lt;=2030,$D26+($E26-$D26)*(I$1-2025)/5,IF(I$1&lt;=2035,$E26+($F26-$E26)*(I$1-2030)/5,$F26+($G26-$F26)*(I$1-2035)/5))</f>
        <v>0.62</v>
      </c>
      <c r="J26" s="0" t="n">
        <f aca="false">IF(J$1&lt;=2030,$D26+($E26-$D26)*(J$1-2025)/5,IF(J$1&lt;=2035,$E26+($F26-$E26)*(J$1-2030)/5,$F26+($G26-$F26)*(J$1-2035)/5))</f>
        <v>0.64</v>
      </c>
      <c r="K26" s="0" t="n">
        <f aca="false">IF(K$1&lt;=2030,$D26+($E26-$D26)*(K$1-2025)/5,IF(K$1&lt;=2035,$E26+($F26-$E26)*(K$1-2030)/5,$F26+($G26-$F26)*(K$1-2035)/5))</f>
        <v>0.66</v>
      </c>
      <c r="L26" s="0" t="n">
        <f aca="false">IF(L$1&lt;=2030,$D26+($E26-$D26)*(L$1-2025)/5,IF(L$1&lt;=2035,$E26+($F26-$E26)*(L$1-2030)/5,$F26+($G26-$F26)*(L$1-2035)/5))</f>
        <v>0.68</v>
      </c>
      <c r="M26" s="0" t="n">
        <f aca="false">IF(M$1&lt;=2030,$D26+($E26-$D26)*(M$1-2025)/5,IF(M$1&lt;=2035,$E26+($F26-$E26)*(M$1-2030)/5,$F26+($G26-$F26)*(M$1-2035)/5))</f>
        <v>0.7</v>
      </c>
      <c r="N26" s="0" t="n">
        <f aca="false">IF(N$1&lt;=2030,$D26+($E26-$D26)*(N$1-2025)/5,IF(N$1&lt;=2035,$E26+($F26-$E26)*(N$1-2030)/5,$F26+($G26-$F26)*(N$1-2035)/5))</f>
        <v>0.71</v>
      </c>
      <c r="O26" s="0" t="n">
        <f aca="false">IF(O$1&lt;=2030,$D26+($E26-$D26)*(O$1-2025)/5,IF(O$1&lt;=2035,$E26+($F26-$E26)*(O$1-2030)/5,$F26+($G26-$F26)*(O$1-2035)/5))</f>
        <v>0.72</v>
      </c>
      <c r="P26" s="0" t="n">
        <f aca="false">IF(P$1&lt;=2030,$D26+($E26-$D26)*(P$1-2025)/5,IF(P$1&lt;=2035,$E26+($F26-$E26)*(P$1-2030)/5,$F26+($G26-$F26)*(P$1-2035)/5))</f>
        <v>0.73</v>
      </c>
      <c r="Q26" s="0" t="n">
        <f aca="false">IF(Q$1&lt;=2030,$D26+($E26-$D26)*(Q$1-2025)/5,IF(Q$1&lt;=2035,$E26+($F26-$E26)*(Q$1-2030)/5,$F26+($G26-$F26)*(Q$1-2035)/5))</f>
        <v>0.74</v>
      </c>
      <c r="R26" s="0" t="n">
        <f aca="false">IF(R$1&lt;=2030,$D26+($E26-$D26)*(R$1-2025)/5,IF(R$1&lt;=2035,$E26+($F26-$E26)*(R$1-2030)/5,$F26+($G26-$F26)*(R$1-2035)/5))</f>
        <v>0.75</v>
      </c>
      <c r="S26" s="0" t="n">
        <f aca="false">IF(S$1&lt;=2030,$D26+($E26-$D26)*(S$1-2025)/5,IF(S$1&lt;=2035,$E26+($F26-$E26)*(S$1-2030)/5,$F26+($G26-$F26)*(S$1-2035)/5))</f>
        <v>0.76</v>
      </c>
      <c r="T26" s="0" t="n">
        <f aca="false">IF(T$1&lt;=2030,$D26+($E26-$D26)*(T$1-2025)/5,IF(T$1&lt;=2035,$E26+($F26-$E26)*(T$1-2030)/5,$F26+($G26-$F26)*(T$1-2035)/5))</f>
        <v>0.77</v>
      </c>
      <c r="U26" s="0" t="n">
        <f aca="false">IF(U$1&lt;=2030,$D26+($E26-$D26)*(U$1-2025)/5,IF(U$1&lt;=2035,$E26+($F26-$E26)*(U$1-2030)/5,$F26+($G26-$F26)*(U$1-2035)/5))</f>
        <v>0.78</v>
      </c>
      <c r="V26" s="0" t="n">
        <f aca="false">IF(V$1&lt;=2030,$D26+($E26-$D26)*(V$1-2025)/5,IF(V$1&lt;=2035,$E26+($F26-$E26)*(V$1-2030)/5,$F26+($G26-$F26)*(V$1-2035)/5))</f>
        <v>0.79</v>
      </c>
      <c r="W26" s="0" t="n">
        <f aca="false">IF(W$1&lt;=2030,$D26+($E26-$D26)*(W$1-2025)/5,IF(W$1&lt;=2035,$E26+($F26-$E26)*(W$1-2030)/5,$F26+($G26-$F26)*(W$1-2035)/5))</f>
        <v>0.8</v>
      </c>
    </row>
    <row r="27" customFormat="false" ht="15" hidden="false" customHeight="false" outlineLevel="0" collapsed="false">
      <c r="A27" s="0" t="s">
        <v>75</v>
      </c>
      <c r="B27" s="0" t="s">
        <v>51</v>
      </c>
      <c r="C27" s="0" t="n">
        <f aca="false">IFERROR(MATCH(A27&amp;"|"&amp;B27&amp;"|"&amp;Control!$B$3,Assumptions!$A$2:$A$112,0),MATCH(A27&amp;"|"&amp;B27&amp;"|All",Assumptions!$A$2:$A$112,0))</f>
        <v>40</v>
      </c>
      <c r="D27" s="0" t="n">
        <f aca="false">INDEX(Assumptions!$E$2:$E$112,$C27)</f>
        <v>0.9</v>
      </c>
      <c r="E27" s="0" t="n">
        <f aca="false">INDEX(Assumptions!$F$2:$F$112,$C27)</f>
        <v>0.95</v>
      </c>
      <c r="F27" s="0" t="n">
        <f aca="false">INDEX(Assumptions!$G$2:$G$112,$C27)</f>
        <v>0.95</v>
      </c>
      <c r="G27" s="0" t="n">
        <f aca="false">INDEX(Assumptions!$H$2:$H$112,$C27)</f>
        <v>0.95</v>
      </c>
      <c r="H27" s="0" t="n">
        <f aca="false">IF(H$1&lt;=2030,$D27+($E27-$D27)*(H$1-2025)/5,IF(H$1&lt;=2035,$E27+($F27-$E27)*(H$1-2030)/5,$F27+($G27-$F27)*(H$1-2035)/5))</f>
        <v>0.9</v>
      </c>
      <c r="I27" s="0" t="n">
        <f aca="false">IF(I$1&lt;=2030,$D27+($E27-$D27)*(I$1-2025)/5,IF(I$1&lt;=2035,$E27+($F27-$E27)*(I$1-2030)/5,$F27+($G27-$F27)*(I$1-2035)/5))</f>
        <v>0.91</v>
      </c>
      <c r="J27" s="0" t="n">
        <f aca="false">IF(J$1&lt;=2030,$D27+($E27-$D27)*(J$1-2025)/5,IF(J$1&lt;=2035,$E27+($F27-$E27)*(J$1-2030)/5,$F27+($G27-$F27)*(J$1-2035)/5))</f>
        <v>0.92</v>
      </c>
      <c r="K27" s="0" t="n">
        <f aca="false">IF(K$1&lt;=2030,$D27+($E27-$D27)*(K$1-2025)/5,IF(K$1&lt;=2035,$E27+($F27-$E27)*(K$1-2030)/5,$F27+($G27-$F27)*(K$1-2035)/5))</f>
        <v>0.93</v>
      </c>
      <c r="L27" s="0" t="n">
        <f aca="false">IF(L$1&lt;=2030,$D27+($E27-$D27)*(L$1-2025)/5,IF(L$1&lt;=2035,$E27+($F27-$E27)*(L$1-2030)/5,$F27+($G27-$F27)*(L$1-2035)/5))</f>
        <v>0.94</v>
      </c>
      <c r="M27" s="0" t="n">
        <f aca="false">IF(M$1&lt;=2030,$D27+($E27-$D27)*(M$1-2025)/5,IF(M$1&lt;=2035,$E27+($F27-$E27)*(M$1-2030)/5,$F27+($G27-$F27)*(M$1-2035)/5))</f>
        <v>0.95</v>
      </c>
      <c r="N27" s="0" t="n">
        <f aca="false">IF(N$1&lt;=2030,$D27+($E27-$D27)*(N$1-2025)/5,IF(N$1&lt;=2035,$E27+($F27-$E27)*(N$1-2030)/5,$F27+($G27-$F27)*(N$1-2035)/5))</f>
        <v>0.95</v>
      </c>
      <c r="O27" s="0" t="n">
        <f aca="false">IF(O$1&lt;=2030,$D27+($E27-$D27)*(O$1-2025)/5,IF(O$1&lt;=2035,$E27+($F27-$E27)*(O$1-2030)/5,$F27+($G27-$F27)*(O$1-2035)/5))</f>
        <v>0.95</v>
      </c>
      <c r="P27" s="0" t="n">
        <f aca="false">IF(P$1&lt;=2030,$D27+($E27-$D27)*(P$1-2025)/5,IF(P$1&lt;=2035,$E27+($F27-$E27)*(P$1-2030)/5,$F27+($G27-$F27)*(P$1-2035)/5))</f>
        <v>0.95</v>
      </c>
      <c r="Q27" s="0" t="n">
        <f aca="false">IF(Q$1&lt;=2030,$D27+($E27-$D27)*(Q$1-2025)/5,IF(Q$1&lt;=2035,$E27+($F27-$E27)*(Q$1-2030)/5,$F27+($G27-$F27)*(Q$1-2035)/5))</f>
        <v>0.95</v>
      </c>
      <c r="R27" s="0" t="n">
        <f aca="false">IF(R$1&lt;=2030,$D27+($E27-$D27)*(R$1-2025)/5,IF(R$1&lt;=2035,$E27+($F27-$E27)*(R$1-2030)/5,$F27+($G27-$F27)*(R$1-2035)/5))</f>
        <v>0.95</v>
      </c>
      <c r="S27" s="0" t="n">
        <f aca="false">IF(S$1&lt;=2030,$D27+($E27-$D27)*(S$1-2025)/5,IF(S$1&lt;=2035,$E27+($F27-$E27)*(S$1-2030)/5,$F27+($G27-$F27)*(S$1-2035)/5))</f>
        <v>0.95</v>
      </c>
      <c r="T27" s="0" t="n">
        <f aca="false">IF(T$1&lt;=2030,$D27+($E27-$D27)*(T$1-2025)/5,IF(T$1&lt;=2035,$E27+($F27-$E27)*(T$1-2030)/5,$F27+($G27-$F27)*(T$1-2035)/5))</f>
        <v>0.95</v>
      </c>
      <c r="U27" s="0" t="n">
        <f aca="false">IF(U$1&lt;=2030,$D27+($E27-$D27)*(U$1-2025)/5,IF(U$1&lt;=2035,$E27+($F27-$E27)*(U$1-2030)/5,$F27+($G27-$F27)*(U$1-2035)/5))</f>
        <v>0.95</v>
      </c>
      <c r="V27" s="0" t="n">
        <f aca="false">IF(V$1&lt;=2030,$D27+($E27-$D27)*(V$1-2025)/5,IF(V$1&lt;=2035,$E27+($F27-$E27)*(V$1-2030)/5,$F27+($G27-$F27)*(V$1-2035)/5))</f>
        <v>0.95</v>
      </c>
      <c r="W27" s="0" t="n">
        <f aca="false">IF(W$1&lt;=2030,$D27+($E27-$D27)*(W$1-2025)/5,IF(W$1&lt;=2035,$E27+($F27-$E27)*(W$1-2030)/5,$F27+($G27-$F27)*(W$1-2035)/5))</f>
        <v>0.95</v>
      </c>
    </row>
    <row r="28" customFormat="false" ht="15" hidden="false" customHeight="false" outlineLevel="0" collapsed="false">
      <c r="A28" s="0" t="s">
        <v>75</v>
      </c>
      <c r="B28" s="0" t="s">
        <v>53</v>
      </c>
      <c r="C28" s="0" t="n">
        <f aca="false">IFERROR(MATCH(A28&amp;"|"&amp;B28&amp;"|"&amp;Control!$B$3,Assumptions!$A$2:$A$112,0),MATCH(A28&amp;"|"&amp;B28&amp;"|All",Assumptions!$A$2:$A$112,0))</f>
        <v>41</v>
      </c>
      <c r="D28" s="0" t="n">
        <f aca="false">INDEX(Assumptions!$E$2:$E$112,$C28)</f>
        <v>1</v>
      </c>
      <c r="E28" s="0" t="n">
        <f aca="false">INDEX(Assumptions!$F$2:$F$112,$C28)</f>
        <v>1</v>
      </c>
      <c r="F28" s="0" t="n">
        <f aca="false">INDEX(Assumptions!$G$2:$G$112,$C28)</f>
        <v>1</v>
      </c>
      <c r="G28" s="0" t="n">
        <f aca="false">INDEX(Assumptions!$H$2:$H$112,$C28)</f>
        <v>1</v>
      </c>
      <c r="H28" s="0" t="n">
        <f aca="false">IF(H$1&lt;=2030,$D28+($E28-$D28)*(H$1-2025)/5,IF(H$1&lt;=2035,$E28+($F28-$E28)*(H$1-2030)/5,$F28+($G28-$F28)*(H$1-2035)/5))</f>
        <v>1</v>
      </c>
      <c r="I28" s="0" t="n">
        <f aca="false">IF(I$1&lt;=2030,$D28+($E28-$D28)*(I$1-2025)/5,IF(I$1&lt;=2035,$E28+($F28-$E28)*(I$1-2030)/5,$F28+($G28-$F28)*(I$1-2035)/5))</f>
        <v>1</v>
      </c>
      <c r="J28" s="0" t="n">
        <f aca="false">IF(J$1&lt;=2030,$D28+($E28-$D28)*(J$1-2025)/5,IF(J$1&lt;=2035,$E28+($F28-$E28)*(J$1-2030)/5,$F28+($G28-$F28)*(J$1-2035)/5))</f>
        <v>1</v>
      </c>
      <c r="K28" s="0" t="n">
        <f aca="false">IF(K$1&lt;=2030,$D28+($E28-$D28)*(K$1-2025)/5,IF(K$1&lt;=2035,$E28+($F28-$E28)*(K$1-2030)/5,$F28+($G28-$F28)*(K$1-2035)/5))</f>
        <v>1</v>
      </c>
      <c r="L28" s="0" t="n">
        <f aca="false">IF(L$1&lt;=2030,$D28+($E28-$D28)*(L$1-2025)/5,IF(L$1&lt;=2035,$E28+($F28-$E28)*(L$1-2030)/5,$F28+($G28-$F28)*(L$1-2035)/5))</f>
        <v>1</v>
      </c>
      <c r="M28" s="0" t="n">
        <f aca="false">IF(M$1&lt;=2030,$D28+($E28-$D28)*(M$1-2025)/5,IF(M$1&lt;=2035,$E28+($F28-$E28)*(M$1-2030)/5,$F28+($G28-$F28)*(M$1-2035)/5))</f>
        <v>1</v>
      </c>
      <c r="N28" s="0" t="n">
        <f aca="false">IF(N$1&lt;=2030,$D28+($E28-$D28)*(N$1-2025)/5,IF(N$1&lt;=2035,$E28+($F28-$E28)*(N$1-2030)/5,$F28+($G28-$F28)*(N$1-2035)/5))</f>
        <v>1</v>
      </c>
      <c r="O28" s="0" t="n">
        <f aca="false">IF(O$1&lt;=2030,$D28+($E28-$D28)*(O$1-2025)/5,IF(O$1&lt;=2035,$E28+($F28-$E28)*(O$1-2030)/5,$F28+($G28-$F28)*(O$1-2035)/5))</f>
        <v>1</v>
      </c>
      <c r="P28" s="0" t="n">
        <f aca="false">IF(P$1&lt;=2030,$D28+($E28-$D28)*(P$1-2025)/5,IF(P$1&lt;=2035,$E28+($F28-$E28)*(P$1-2030)/5,$F28+($G28-$F28)*(P$1-2035)/5))</f>
        <v>1</v>
      </c>
      <c r="Q28" s="0" t="n">
        <f aca="false">IF(Q$1&lt;=2030,$D28+($E28-$D28)*(Q$1-2025)/5,IF(Q$1&lt;=2035,$E28+($F28-$E28)*(Q$1-2030)/5,$F28+($G28-$F28)*(Q$1-2035)/5))</f>
        <v>1</v>
      </c>
      <c r="R28" s="0" t="n">
        <f aca="false">IF(R$1&lt;=2030,$D28+($E28-$D28)*(R$1-2025)/5,IF(R$1&lt;=2035,$E28+($F28-$E28)*(R$1-2030)/5,$F28+($G28-$F28)*(R$1-2035)/5))</f>
        <v>1</v>
      </c>
      <c r="S28" s="0" t="n">
        <f aca="false">IF(S$1&lt;=2030,$D28+($E28-$D28)*(S$1-2025)/5,IF(S$1&lt;=2035,$E28+($F28-$E28)*(S$1-2030)/5,$F28+($G28-$F28)*(S$1-2035)/5))</f>
        <v>1</v>
      </c>
      <c r="T28" s="0" t="n">
        <f aca="false">IF(T$1&lt;=2030,$D28+($E28-$D28)*(T$1-2025)/5,IF(T$1&lt;=2035,$E28+($F28-$E28)*(T$1-2030)/5,$F28+($G28-$F28)*(T$1-2035)/5))</f>
        <v>1</v>
      </c>
      <c r="U28" s="0" t="n">
        <f aca="false">IF(U$1&lt;=2030,$D28+($E28-$D28)*(U$1-2025)/5,IF(U$1&lt;=2035,$E28+($F28-$E28)*(U$1-2030)/5,$F28+($G28-$F28)*(U$1-2035)/5))</f>
        <v>1</v>
      </c>
      <c r="V28" s="0" t="n">
        <f aca="false">IF(V$1&lt;=2030,$D28+($E28-$D28)*(V$1-2025)/5,IF(V$1&lt;=2035,$E28+($F28-$E28)*(V$1-2030)/5,$F28+($G28-$F28)*(V$1-2035)/5))</f>
        <v>1</v>
      </c>
      <c r="W28" s="0" t="n">
        <f aca="false">IF(W$1&lt;=2030,$D28+($E28-$D28)*(W$1-2025)/5,IF(W$1&lt;=2035,$E28+($F28-$E28)*(W$1-2030)/5,$F28+($G28-$F28)*(W$1-2035)/5))</f>
        <v>1</v>
      </c>
    </row>
    <row r="29" customFormat="false" ht="15" hidden="false" customHeight="false" outlineLevel="0" collapsed="false">
      <c r="A29" s="0" t="s">
        <v>75</v>
      </c>
      <c r="B29" s="0" t="s">
        <v>55</v>
      </c>
      <c r="C29" s="0" t="n">
        <f aca="false">IFERROR(MATCH(A29&amp;"|"&amp;B29&amp;"|"&amp;Control!$B$3,Assumptions!$A$2:$A$112,0),MATCH(A29&amp;"|"&amp;B29&amp;"|All",Assumptions!$A$2:$A$112,0))</f>
        <v>42</v>
      </c>
      <c r="D29" s="0" t="n">
        <f aca="false">INDEX(Assumptions!$E$2:$E$112,$C29)</f>
        <v>0.45</v>
      </c>
      <c r="E29" s="0" t="n">
        <f aca="false">INDEX(Assumptions!$F$2:$F$112,$C29)</f>
        <v>0.6</v>
      </c>
      <c r="F29" s="0" t="n">
        <f aca="false">INDEX(Assumptions!$G$2:$G$112,$C29)</f>
        <v>0.65</v>
      </c>
      <c r="G29" s="0" t="n">
        <f aca="false">INDEX(Assumptions!$H$2:$H$112,$C29)</f>
        <v>0.7</v>
      </c>
      <c r="H29" s="0" t="n">
        <f aca="false">IF(H$1&lt;=2030,$D29+($E29-$D29)*(H$1-2025)/5,IF(H$1&lt;=2035,$E29+($F29-$E29)*(H$1-2030)/5,$F29+($G29-$F29)*(H$1-2035)/5))</f>
        <v>0.45</v>
      </c>
      <c r="I29" s="0" t="n">
        <f aca="false">IF(I$1&lt;=2030,$D29+($E29-$D29)*(I$1-2025)/5,IF(I$1&lt;=2035,$E29+($F29-$E29)*(I$1-2030)/5,$F29+($G29-$F29)*(I$1-2035)/5))</f>
        <v>0.48</v>
      </c>
      <c r="J29" s="0" t="n">
        <f aca="false">IF(J$1&lt;=2030,$D29+($E29-$D29)*(J$1-2025)/5,IF(J$1&lt;=2035,$E29+($F29-$E29)*(J$1-2030)/5,$F29+($G29-$F29)*(J$1-2035)/5))</f>
        <v>0.51</v>
      </c>
      <c r="K29" s="0" t="n">
        <f aca="false">IF(K$1&lt;=2030,$D29+($E29-$D29)*(K$1-2025)/5,IF(K$1&lt;=2035,$E29+($F29-$E29)*(K$1-2030)/5,$F29+($G29-$F29)*(K$1-2035)/5))</f>
        <v>0.54</v>
      </c>
      <c r="L29" s="0" t="n">
        <f aca="false">IF(L$1&lt;=2030,$D29+($E29-$D29)*(L$1-2025)/5,IF(L$1&lt;=2035,$E29+($F29-$E29)*(L$1-2030)/5,$F29+($G29-$F29)*(L$1-2035)/5))</f>
        <v>0.57</v>
      </c>
      <c r="M29" s="0" t="n">
        <f aca="false">IF(M$1&lt;=2030,$D29+($E29-$D29)*(M$1-2025)/5,IF(M$1&lt;=2035,$E29+($F29-$E29)*(M$1-2030)/5,$F29+($G29-$F29)*(M$1-2035)/5))</f>
        <v>0.6</v>
      </c>
      <c r="N29" s="0" t="n">
        <f aca="false">IF(N$1&lt;=2030,$D29+($E29-$D29)*(N$1-2025)/5,IF(N$1&lt;=2035,$E29+($F29-$E29)*(N$1-2030)/5,$F29+($G29-$F29)*(N$1-2035)/5))</f>
        <v>0.61</v>
      </c>
      <c r="O29" s="0" t="n">
        <f aca="false">IF(O$1&lt;=2030,$D29+($E29-$D29)*(O$1-2025)/5,IF(O$1&lt;=2035,$E29+($F29-$E29)*(O$1-2030)/5,$F29+($G29-$F29)*(O$1-2035)/5))</f>
        <v>0.62</v>
      </c>
      <c r="P29" s="0" t="n">
        <f aca="false">IF(P$1&lt;=2030,$D29+($E29-$D29)*(P$1-2025)/5,IF(P$1&lt;=2035,$E29+($F29-$E29)*(P$1-2030)/5,$F29+($G29-$F29)*(P$1-2035)/5))</f>
        <v>0.63</v>
      </c>
      <c r="Q29" s="0" t="n">
        <f aca="false">IF(Q$1&lt;=2030,$D29+($E29-$D29)*(Q$1-2025)/5,IF(Q$1&lt;=2035,$E29+($F29-$E29)*(Q$1-2030)/5,$F29+($G29-$F29)*(Q$1-2035)/5))</f>
        <v>0.64</v>
      </c>
      <c r="R29" s="0" t="n">
        <f aca="false">IF(R$1&lt;=2030,$D29+($E29-$D29)*(R$1-2025)/5,IF(R$1&lt;=2035,$E29+($F29-$E29)*(R$1-2030)/5,$F29+($G29-$F29)*(R$1-2035)/5))</f>
        <v>0.65</v>
      </c>
      <c r="S29" s="0" t="n">
        <f aca="false">IF(S$1&lt;=2030,$D29+($E29-$D29)*(S$1-2025)/5,IF(S$1&lt;=2035,$E29+($F29-$E29)*(S$1-2030)/5,$F29+($G29-$F29)*(S$1-2035)/5))</f>
        <v>0.66</v>
      </c>
      <c r="T29" s="0" t="n">
        <f aca="false">IF(T$1&lt;=2030,$D29+($E29-$D29)*(T$1-2025)/5,IF(T$1&lt;=2035,$E29+($F29-$E29)*(T$1-2030)/5,$F29+($G29-$F29)*(T$1-2035)/5))</f>
        <v>0.67</v>
      </c>
      <c r="U29" s="0" t="n">
        <f aca="false">IF(U$1&lt;=2030,$D29+($E29-$D29)*(U$1-2025)/5,IF(U$1&lt;=2035,$E29+($F29-$E29)*(U$1-2030)/5,$F29+($G29-$F29)*(U$1-2035)/5))</f>
        <v>0.68</v>
      </c>
      <c r="V29" s="0" t="n">
        <f aca="false">IF(V$1&lt;=2030,$D29+($E29-$D29)*(V$1-2025)/5,IF(V$1&lt;=2035,$E29+($F29-$E29)*(V$1-2030)/5,$F29+($G29-$F29)*(V$1-2035)/5))</f>
        <v>0.69</v>
      </c>
      <c r="W29" s="0" t="n">
        <f aca="false">IF(W$1&lt;=2030,$D29+($E29-$D29)*(W$1-2025)/5,IF(W$1&lt;=2035,$E29+($F29-$E29)*(W$1-2030)/5,$F29+($G29-$F29)*(W$1-2035)/5))</f>
        <v>0.7</v>
      </c>
    </row>
    <row r="30" customFormat="false" ht="15" hidden="false" customHeight="false" outlineLevel="0" collapsed="false">
      <c r="A30" s="0" t="s">
        <v>75</v>
      </c>
      <c r="B30" s="0" t="s">
        <v>57</v>
      </c>
      <c r="C30" s="0" t="n">
        <f aca="false">IFERROR(MATCH(A30&amp;"|"&amp;B30&amp;"|"&amp;Control!$B$3,Assumptions!$A$2:$A$112,0),MATCH(A30&amp;"|"&amp;B30&amp;"|All",Assumptions!$A$2:$A$112,0))</f>
        <v>43</v>
      </c>
      <c r="D30" s="0" t="n">
        <f aca="false">INDEX(Assumptions!$E$2:$E$112,$C30)</f>
        <v>0.9</v>
      </c>
      <c r="E30" s="0" t="n">
        <f aca="false">INDEX(Assumptions!$F$2:$F$112,$C30)</f>
        <v>0.95</v>
      </c>
      <c r="F30" s="0" t="n">
        <f aca="false">INDEX(Assumptions!$G$2:$G$112,$C30)</f>
        <v>0.95</v>
      </c>
      <c r="G30" s="0" t="n">
        <f aca="false">INDEX(Assumptions!$H$2:$H$112,$C30)</f>
        <v>0.95</v>
      </c>
      <c r="H30" s="0" t="n">
        <f aca="false">IF(H$1&lt;=2030,$D30+($E30-$D30)*(H$1-2025)/5,IF(H$1&lt;=2035,$E30+($F30-$E30)*(H$1-2030)/5,$F30+($G30-$F30)*(H$1-2035)/5))</f>
        <v>0.9</v>
      </c>
      <c r="I30" s="0" t="n">
        <f aca="false">IF(I$1&lt;=2030,$D30+($E30-$D30)*(I$1-2025)/5,IF(I$1&lt;=2035,$E30+($F30-$E30)*(I$1-2030)/5,$F30+($G30-$F30)*(I$1-2035)/5))</f>
        <v>0.91</v>
      </c>
      <c r="J30" s="0" t="n">
        <f aca="false">IF(J$1&lt;=2030,$D30+($E30-$D30)*(J$1-2025)/5,IF(J$1&lt;=2035,$E30+($F30-$E30)*(J$1-2030)/5,$F30+($G30-$F30)*(J$1-2035)/5))</f>
        <v>0.92</v>
      </c>
      <c r="K30" s="0" t="n">
        <f aca="false">IF(K$1&lt;=2030,$D30+($E30-$D30)*(K$1-2025)/5,IF(K$1&lt;=2035,$E30+($F30-$E30)*(K$1-2030)/5,$F30+($G30-$F30)*(K$1-2035)/5))</f>
        <v>0.93</v>
      </c>
      <c r="L30" s="0" t="n">
        <f aca="false">IF(L$1&lt;=2030,$D30+($E30-$D30)*(L$1-2025)/5,IF(L$1&lt;=2035,$E30+($F30-$E30)*(L$1-2030)/5,$F30+($G30-$F30)*(L$1-2035)/5))</f>
        <v>0.94</v>
      </c>
      <c r="M30" s="0" t="n">
        <f aca="false">IF(M$1&lt;=2030,$D30+($E30-$D30)*(M$1-2025)/5,IF(M$1&lt;=2035,$E30+($F30-$E30)*(M$1-2030)/5,$F30+($G30-$F30)*(M$1-2035)/5))</f>
        <v>0.95</v>
      </c>
      <c r="N30" s="0" t="n">
        <f aca="false">IF(N$1&lt;=2030,$D30+($E30-$D30)*(N$1-2025)/5,IF(N$1&lt;=2035,$E30+($F30-$E30)*(N$1-2030)/5,$F30+($G30-$F30)*(N$1-2035)/5))</f>
        <v>0.95</v>
      </c>
      <c r="O30" s="0" t="n">
        <f aca="false">IF(O$1&lt;=2030,$D30+($E30-$D30)*(O$1-2025)/5,IF(O$1&lt;=2035,$E30+($F30-$E30)*(O$1-2030)/5,$F30+($G30-$F30)*(O$1-2035)/5))</f>
        <v>0.95</v>
      </c>
      <c r="P30" s="0" t="n">
        <f aca="false">IF(P$1&lt;=2030,$D30+($E30-$D30)*(P$1-2025)/5,IF(P$1&lt;=2035,$E30+($F30-$E30)*(P$1-2030)/5,$F30+($G30-$F30)*(P$1-2035)/5))</f>
        <v>0.95</v>
      </c>
      <c r="Q30" s="0" t="n">
        <f aca="false">IF(Q$1&lt;=2030,$D30+($E30-$D30)*(Q$1-2025)/5,IF(Q$1&lt;=2035,$E30+($F30-$E30)*(Q$1-2030)/5,$F30+($G30-$F30)*(Q$1-2035)/5))</f>
        <v>0.95</v>
      </c>
      <c r="R30" s="0" t="n">
        <f aca="false">IF(R$1&lt;=2030,$D30+($E30-$D30)*(R$1-2025)/5,IF(R$1&lt;=2035,$E30+($F30-$E30)*(R$1-2030)/5,$F30+($G30-$F30)*(R$1-2035)/5))</f>
        <v>0.95</v>
      </c>
      <c r="S30" s="0" t="n">
        <f aca="false">IF(S$1&lt;=2030,$D30+($E30-$D30)*(S$1-2025)/5,IF(S$1&lt;=2035,$E30+($F30-$E30)*(S$1-2030)/5,$F30+($G30-$F30)*(S$1-2035)/5))</f>
        <v>0.95</v>
      </c>
      <c r="T30" s="0" t="n">
        <f aca="false">IF(T$1&lt;=2030,$D30+($E30-$D30)*(T$1-2025)/5,IF(T$1&lt;=2035,$E30+($F30-$E30)*(T$1-2030)/5,$F30+($G30-$F30)*(T$1-2035)/5))</f>
        <v>0.95</v>
      </c>
      <c r="U30" s="0" t="n">
        <f aca="false">IF(U$1&lt;=2030,$D30+($E30-$D30)*(U$1-2025)/5,IF(U$1&lt;=2035,$E30+($F30-$E30)*(U$1-2030)/5,$F30+($G30-$F30)*(U$1-2035)/5))</f>
        <v>0.95</v>
      </c>
      <c r="V30" s="0" t="n">
        <f aca="false">IF(V$1&lt;=2030,$D30+($E30-$D30)*(V$1-2025)/5,IF(V$1&lt;=2035,$E30+($F30-$E30)*(V$1-2030)/5,$F30+($G30-$F30)*(V$1-2035)/5))</f>
        <v>0.95</v>
      </c>
      <c r="W30" s="0" t="n">
        <f aca="false">IF(W$1&lt;=2030,$D30+($E30-$D30)*(W$1-2025)/5,IF(W$1&lt;=2035,$E30+($F30-$E30)*(W$1-2030)/5,$F30+($G30-$F30)*(W$1-2035)/5))</f>
        <v>0.95</v>
      </c>
    </row>
    <row r="31" customFormat="false" ht="15" hidden="false" customHeight="false" outlineLevel="0" collapsed="false">
      <c r="A31" s="0" t="s">
        <v>75</v>
      </c>
      <c r="B31" s="0" t="s">
        <v>58</v>
      </c>
      <c r="C31" s="0" t="n">
        <f aca="false">IFERROR(MATCH(A31&amp;"|"&amp;B31&amp;"|"&amp;Control!$B$3,Assumptions!$A$2:$A$112,0),MATCH(A31&amp;"|"&amp;B31&amp;"|All",Assumptions!$A$2:$A$112,0))</f>
        <v>44</v>
      </c>
      <c r="D31" s="0" t="n">
        <f aca="false">INDEX(Assumptions!$E$2:$E$112,$C31)</f>
        <v>0.8</v>
      </c>
      <c r="E31" s="0" t="n">
        <f aca="false">INDEX(Assumptions!$F$2:$F$112,$C31)</f>
        <v>0.85</v>
      </c>
      <c r="F31" s="0" t="n">
        <f aca="false">INDEX(Assumptions!$G$2:$G$112,$C31)</f>
        <v>0.9</v>
      </c>
      <c r="G31" s="0" t="n">
        <f aca="false">INDEX(Assumptions!$H$2:$H$112,$C31)</f>
        <v>0.9</v>
      </c>
      <c r="H31" s="0" t="n">
        <f aca="false">IF(H$1&lt;=2030,$D31+($E31-$D31)*(H$1-2025)/5,IF(H$1&lt;=2035,$E31+($F31-$E31)*(H$1-2030)/5,$F31+($G31-$F31)*(H$1-2035)/5))</f>
        <v>0.8</v>
      </c>
      <c r="I31" s="0" t="n">
        <f aca="false">IF(I$1&lt;=2030,$D31+($E31-$D31)*(I$1-2025)/5,IF(I$1&lt;=2035,$E31+($F31-$E31)*(I$1-2030)/5,$F31+($G31-$F31)*(I$1-2035)/5))</f>
        <v>0.81</v>
      </c>
      <c r="J31" s="0" t="n">
        <f aca="false">IF(J$1&lt;=2030,$D31+($E31-$D31)*(J$1-2025)/5,IF(J$1&lt;=2035,$E31+($F31-$E31)*(J$1-2030)/5,$F31+($G31-$F31)*(J$1-2035)/5))</f>
        <v>0.82</v>
      </c>
      <c r="K31" s="0" t="n">
        <f aca="false">IF(K$1&lt;=2030,$D31+($E31-$D31)*(K$1-2025)/5,IF(K$1&lt;=2035,$E31+($F31-$E31)*(K$1-2030)/5,$F31+($G31-$F31)*(K$1-2035)/5))</f>
        <v>0.83</v>
      </c>
      <c r="L31" s="0" t="n">
        <f aca="false">IF(L$1&lt;=2030,$D31+($E31-$D31)*(L$1-2025)/5,IF(L$1&lt;=2035,$E31+($F31-$E31)*(L$1-2030)/5,$F31+($G31-$F31)*(L$1-2035)/5))</f>
        <v>0.84</v>
      </c>
      <c r="M31" s="0" t="n">
        <f aca="false">IF(M$1&lt;=2030,$D31+($E31-$D31)*(M$1-2025)/5,IF(M$1&lt;=2035,$E31+($F31-$E31)*(M$1-2030)/5,$F31+($G31-$F31)*(M$1-2035)/5))</f>
        <v>0.85</v>
      </c>
      <c r="N31" s="0" t="n">
        <f aca="false">IF(N$1&lt;=2030,$D31+($E31-$D31)*(N$1-2025)/5,IF(N$1&lt;=2035,$E31+($F31-$E31)*(N$1-2030)/5,$F31+($G31-$F31)*(N$1-2035)/5))</f>
        <v>0.86</v>
      </c>
      <c r="O31" s="0" t="n">
        <f aca="false">IF(O$1&lt;=2030,$D31+($E31-$D31)*(O$1-2025)/5,IF(O$1&lt;=2035,$E31+($F31-$E31)*(O$1-2030)/5,$F31+($G31-$F31)*(O$1-2035)/5))</f>
        <v>0.87</v>
      </c>
      <c r="P31" s="0" t="n">
        <f aca="false">IF(P$1&lt;=2030,$D31+($E31-$D31)*(P$1-2025)/5,IF(P$1&lt;=2035,$E31+($F31-$E31)*(P$1-2030)/5,$F31+($G31-$F31)*(P$1-2035)/5))</f>
        <v>0.88</v>
      </c>
      <c r="Q31" s="0" t="n">
        <f aca="false">IF(Q$1&lt;=2030,$D31+($E31-$D31)*(Q$1-2025)/5,IF(Q$1&lt;=2035,$E31+($F31-$E31)*(Q$1-2030)/5,$F31+($G31-$F31)*(Q$1-2035)/5))</f>
        <v>0.89</v>
      </c>
      <c r="R31" s="0" t="n">
        <f aca="false">IF(R$1&lt;=2030,$D31+($E31-$D31)*(R$1-2025)/5,IF(R$1&lt;=2035,$E31+($F31-$E31)*(R$1-2030)/5,$F31+($G31-$F31)*(R$1-2035)/5))</f>
        <v>0.9</v>
      </c>
      <c r="S31" s="0" t="n">
        <f aca="false">IF(S$1&lt;=2030,$D31+($E31-$D31)*(S$1-2025)/5,IF(S$1&lt;=2035,$E31+($F31-$E31)*(S$1-2030)/5,$F31+($G31-$F31)*(S$1-2035)/5))</f>
        <v>0.9</v>
      </c>
      <c r="T31" s="0" t="n">
        <f aca="false">IF(T$1&lt;=2030,$D31+($E31-$D31)*(T$1-2025)/5,IF(T$1&lt;=2035,$E31+($F31-$E31)*(T$1-2030)/5,$F31+($G31-$F31)*(T$1-2035)/5))</f>
        <v>0.9</v>
      </c>
      <c r="U31" s="0" t="n">
        <f aca="false">IF(U$1&lt;=2030,$D31+($E31-$D31)*(U$1-2025)/5,IF(U$1&lt;=2035,$E31+($F31-$E31)*(U$1-2030)/5,$F31+($G31-$F31)*(U$1-2035)/5))</f>
        <v>0.9</v>
      </c>
      <c r="V31" s="0" t="n">
        <f aca="false">IF(V$1&lt;=2030,$D31+($E31-$D31)*(V$1-2025)/5,IF(V$1&lt;=2035,$E31+($F31-$E31)*(V$1-2030)/5,$F31+($G31-$F31)*(V$1-2035)/5))</f>
        <v>0.9</v>
      </c>
      <c r="W31" s="0" t="n">
        <f aca="false">IF(W$1&lt;=2030,$D31+($E31-$D31)*(W$1-2025)/5,IF(W$1&lt;=2035,$E31+($F31-$E31)*(W$1-2030)/5,$F31+($G31-$F31)*(W$1-2035)/5))</f>
        <v>0.9</v>
      </c>
    </row>
    <row r="32" customFormat="false" ht="15" hidden="false" customHeight="false" outlineLevel="0" collapsed="false">
      <c r="A32" s="0" t="s">
        <v>75</v>
      </c>
      <c r="B32" s="0" t="s">
        <v>77</v>
      </c>
      <c r="C32" s="0" t="n">
        <f aca="false">IFERROR(MATCH(A32&amp;"|"&amp;B32&amp;"|"&amp;Control!$B$3,Assumptions!$A$2:$A$112,0),MATCH(A32&amp;"|"&amp;B32&amp;"|All",Assumptions!$A$2:$A$112,0))</f>
        <v>45</v>
      </c>
      <c r="D32" s="0" t="n">
        <f aca="false">INDEX(Assumptions!$E$2:$E$112,$C32)</f>
        <v>1</v>
      </c>
      <c r="E32" s="0" t="n">
        <f aca="false">INDEX(Assumptions!$F$2:$F$112,$C32)</f>
        <v>1</v>
      </c>
      <c r="F32" s="0" t="n">
        <f aca="false">INDEX(Assumptions!$G$2:$G$112,$C32)</f>
        <v>1</v>
      </c>
      <c r="G32" s="0" t="n">
        <f aca="false">INDEX(Assumptions!$H$2:$H$112,$C32)</f>
        <v>1</v>
      </c>
      <c r="H32" s="0" t="n">
        <f aca="false">IF(H$1&lt;=2030,$D32+($E32-$D32)*(H$1-2025)/5,IF(H$1&lt;=2035,$E32+($F32-$E32)*(H$1-2030)/5,$F32+($G32-$F32)*(H$1-2035)/5))</f>
        <v>1</v>
      </c>
      <c r="I32" s="0" t="n">
        <f aca="false">IF(I$1&lt;=2030,$D32+($E32-$D32)*(I$1-2025)/5,IF(I$1&lt;=2035,$E32+($F32-$E32)*(I$1-2030)/5,$F32+($G32-$F32)*(I$1-2035)/5))</f>
        <v>1</v>
      </c>
      <c r="J32" s="0" t="n">
        <f aca="false">IF(J$1&lt;=2030,$D32+($E32-$D32)*(J$1-2025)/5,IF(J$1&lt;=2035,$E32+($F32-$E32)*(J$1-2030)/5,$F32+($G32-$F32)*(J$1-2035)/5))</f>
        <v>1</v>
      </c>
      <c r="K32" s="0" t="n">
        <f aca="false">IF(K$1&lt;=2030,$D32+($E32-$D32)*(K$1-2025)/5,IF(K$1&lt;=2035,$E32+($F32-$E32)*(K$1-2030)/5,$F32+($G32-$F32)*(K$1-2035)/5))</f>
        <v>1</v>
      </c>
      <c r="L32" s="0" t="n">
        <f aca="false">IF(L$1&lt;=2030,$D32+($E32-$D32)*(L$1-2025)/5,IF(L$1&lt;=2035,$E32+($F32-$E32)*(L$1-2030)/5,$F32+($G32-$F32)*(L$1-2035)/5))</f>
        <v>1</v>
      </c>
      <c r="M32" s="0" t="n">
        <f aca="false">IF(M$1&lt;=2030,$D32+($E32-$D32)*(M$1-2025)/5,IF(M$1&lt;=2035,$E32+($F32-$E32)*(M$1-2030)/5,$F32+($G32-$F32)*(M$1-2035)/5))</f>
        <v>1</v>
      </c>
      <c r="N32" s="0" t="n">
        <f aca="false">IF(N$1&lt;=2030,$D32+($E32-$D32)*(N$1-2025)/5,IF(N$1&lt;=2035,$E32+($F32-$E32)*(N$1-2030)/5,$F32+($G32-$F32)*(N$1-2035)/5))</f>
        <v>1</v>
      </c>
      <c r="O32" s="0" t="n">
        <f aca="false">IF(O$1&lt;=2030,$D32+($E32-$D32)*(O$1-2025)/5,IF(O$1&lt;=2035,$E32+($F32-$E32)*(O$1-2030)/5,$F32+($G32-$F32)*(O$1-2035)/5))</f>
        <v>1</v>
      </c>
      <c r="P32" s="0" t="n">
        <f aca="false">IF(P$1&lt;=2030,$D32+($E32-$D32)*(P$1-2025)/5,IF(P$1&lt;=2035,$E32+($F32-$E32)*(P$1-2030)/5,$F32+($G32-$F32)*(P$1-2035)/5))</f>
        <v>1</v>
      </c>
      <c r="Q32" s="0" t="n">
        <f aca="false">IF(Q$1&lt;=2030,$D32+($E32-$D32)*(Q$1-2025)/5,IF(Q$1&lt;=2035,$E32+($F32-$E32)*(Q$1-2030)/5,$F32+($G32-$F32)*(Q$1-2035)/5))</f>
        <v>1</v>
      </c>
      <c r="R32" s="0" t="n">
        <f aca="false">IF(R$1&lt;=2030,$D32+($E32-$D32)*(R$1-2025)/5,IF(R$1&lt;=2035,$E32+($F32-$E32)*(R$1-2030)/5,$F32+($G32-$F32)*(R$1-2035)/5))</f>
        <v>1</v>
      </c>
      <c r="S32" s="0" t="n">
        <f aca="false">IF(S$1&lt;=2030,$D32+($E32-$D32)*(S$1-2025)/5,IF(S$1&lt;=2035,$E32+($F32-$E32)*(S$1-2030)/5,$F32+($G32-$F32)*(S$1-2035)/5))</f>
        <v>1</v>
      </c>
      <c r="T32" s="0" t="n">
        <f aca="false">IF(T$1&lt;=2030,$D32+($E32-$D32)*(T$1-2025)/5,IF(T$1&lt;=2035,$E32+($F32-$E32)*(T$1-2030)/5,$F32+($G32-$F32)*(T$1-2035)/5))</f>
        <v>1</v>
      </c>
      <c r="U32" s="0" t="n">
        <f aca="false">IF(U$1&lt;=2030,$D32+($E32-$D32)*(U$1-2025)/5,IF(U$1&lt;=2035,$E32+($F32-$E32)*(U$1-2030)/5,$F32+($G32-$F32)*(U$1-2035)/5))</f>
        <v>1</v>
      </c>
      <c r="V32" s="0" t="n">
        <f aca="false">IF(V$1&lt;=2030,$D32+($E32-$D32)*(V$1-2025)/5,IF(V$1&lt;=2035,$E32+($F32-$E32)*(V$1-2030)/5,$F32+($G32-$F32)*(V$1-2035)/5))</f>
        <v>1</v>
      </c>
      <c r="W32" s="0" t="n">
        <f aca="false">IF(W$1&lt;=2030,$D32+($E32-$D32)*(W$1-2025)/5,IF(W$1&lt;=2035,$E32+($F32-$E32)*(W$1-2030)/5,$F32+($G32-$F32)*(W$1-2035)/5))</f>
        <v>1</v>
      </c>
    </row>
    <row r="33" customFormat="false" ht="15" hidden="false" customHeight="false" outlineLevel="0" collapsed="false">
      <c r="A33" s="0" t="s">
        <v>78</v>
      </c>
      <c r="B33" s="0" t="s">
        <v>46</v>
      </c>
      <c r="C33" s="0" t="n">
        <f aca="false">IFERROR(MATCH(A33&amp;"|"&amp;B33&amp;"|"&amp;Control!$B$3,Assumptions!$A$2:$A$112,0),MATCH(A33&amp;"|"&amp;B33&amp;"|All",Assumptions!$A$2:$A$112,0))</f>
        <v>46</v>
      </c>
      <c r="D33" s="0" t="n">
        <f aca="false">INDEX(Assumptions!$E$2:$E$112,$C33)</f>
        <v>0</v>
      </c>
      <c r="E33" s="0" t="n">
        <f aca="false">INDEX(Assumptions!$F$2:$F$112,$C33)</f>
        <v>0.03</v>
      </c>
      <c r="F33" s="0" t="n">
        <f aca="false">INDEX(Assumptions!$G$2:$G$112,$C33)</f>
        <v>0.08</v>
      </c>
      <c r="G33" s="0" t="n">
        <f aca="false">INDEX(Assumptions!$H$2:$H$112,$C33)</f>
        <v>0.12</v>
      </c>
      <c r="H33" s="0" t="n">
        <f aca="false">IF(H$1&lt;=2030,$D33+($E33-$D33)*(H$1-2025)/5,IF(H$1&lt;=2035,$E33+($F33-$E33)*(H$1-2030)/5,$F33+($G33-$F33)*(H$1-2035)/5))</f>
        <v>0</v>
      </c>
      <c r="I33" s="0" t="n">
        <f aca="false">IF(I$1&lt;=2030,$D33+($E33-$D33)*(I$1-2025)/5,IF(I$1&lt;=2035,$E33+($F33-$E33)*(I$1-2030)/5,$F33+($G33-$F33)*(I$1-2035)/5))</f>
        <v>0.006</v>
      </c>
      <c r="J33" s="0" t="n">
        <f aca="false">IF(J$1&lt;=2030,$D33+($E33-$D33)*(J$1-2025)/5,IF(J$1&lt;=2035,$E33+($F33-$E33)*(J$1-2030)/5,$F33+($G33-$F33)*(J$1-2035)/5))</f>
        <v>0.012</v>
      </c>
      <c r="K33" s="0" t="n">
        <f aca="false">IF(K$1&lt;=2030,$D33+($E33-$D33)*(K$1-2025)/5,IF(K$1&lt;=2035,$E33+($F33-$E33)*(K$1-2030)/5,$F33+($G33-$F33)*(K$1-2035)/5))</f>
        <v>0.018</v>
      </c>
      <c r="L33" s="0" t="n">
        <f aca="false">IF(L$1&lt;=2030,$D33+($E33-$D33)*(L$1-2025)/5,IF(L$1&lt;=2035,$E33+($F33-$E33)*(L$1-2030)/5,$F33+($G33-$F33)*(L$1-2035)/5))</f>
        <v>0.024</v>
      </c>
      <c r="M33" s="0" t="n">
        <f aca="false">IF(M$1&lt;=2030,$D33+($E33-$D33)*(M$1-2025)/5,IF(M$1&lt;=2035,$E33+($F33-$E33)*(M$1-2030)/5,$F33+($G33-$F33)*(M$1-2035)/5))</f>
        <v>0.03</v>
      </c>
      <c r="N33" s="0" t="n">
        <f aca="false">IF(N$1&lt;=2030,$D33+($E33-$D33)*(N$1-2025)/5,IF(N$1&lt;=2035,$E33+($F33-$E33)*(N$1-2030)/5,$F33+($G33-$F33)*(N$1-2035)/5))</f>
        <v>0.04</v>
      </c>
      <c r="O33" s="0" t="n">
        <f aca="false">IF(O$1&lt;=2030,$D33+($E33-$D33)*(O$1-2025)/5,IF(O$1&lt;=2035,$E33+($F33-$E33)*(O$1-2030)/5,$F33+($G33-$F33)*(O$1-2035)/5))</f>
        <v>0.05</v>
      </c>
      <c r="P33" s="0" t="n">
        <f aca="false">IF(P$1&lt;=2030,$D33+($E33-$D33)*(P$1-2025)/5,IF(P$1&lt;=2035,$E33+($F33-$E33)*(P$1-2030)/5,$F33+($G33-$F33)*(P$1-2035)/5))</f>
        <v>0.06</v>
      </c>
      <c r="Q33" s="0" t="n">
        <f aca="false">IF(Q$1&lt;=2030,$D33+($E33-$D33)*(Q$1-2025)/5,IF(Q$1&lt;=2035,$E33+($F33-$E33)*(Q$1-2030)/5,$F33+($G33-$F33)*(Q$1-2035)/5))</f>
        <v>0.07</v>
      </c>
      <c r="R33" s="0" t="n">
        <f aca="false">IF(R$1&lt;=2030,$D33+($E33-$D33)*(R$1-2025)/5,IF(R$1&lt;=2035,$E33+($F33-$E33)*(R$1-2030)/5,$F33+($G33-$F33)*(R$1-2035)/5))</f>
        <v>0.08</v>
      </c>
      <c r="S33" s="0" t="n">
        <f aca="false">IF(S$1&lt;=2030,$D33+($E33-$D33)*(S$1-2025)/5,IF(S$1&lt;=2035,$E33+($F33-$E33)*(S$1-2030)/5,$F33+($G33-$F33)*(S$1-2035)/5))</f>
        <v>0.088</v>
      </c>
      <c r="T33" s="0" t="n">
        <f aca="false">IF(T$1&lt;=2030,$D33+($E33-$D33)*(T$1-2025)/5,IF(T$1&lt;=2035,$E33+($F33-$E33)*(T$1-2030)/5,$F33+($G33-$F33)*(T$1-2035)/5))</f>
        <v>0.096</v>
      </c>
      <c r="U33" s="0" t="n">
        <f aca="false">IF(U$1&lt;=2030,$D33+($E33-$D33)*(U$1-2025)/5,IF(U$1&lt;=2035,$E33+($F33-$E33)*(U$1-2030)/5,$F33+($G33-$F33)*(U$1-2035)/5))</f>
        <v>0.104</v>
      </c>
      <c r="V33" s="0" t="n">
        <f aca="false">IF(V$1&lt;=2030,$D33+($E33-$D33)*(V$1-2025)/5,IF(V$1&lt;=2035,$E33+($F33-$E33)*(V$1-2030)/5,$F33+($G33-$F33)*(V$1-2035)/5))</f>
        <v>0.112</v>
      </c>
      <c r="W33" s="0" t="n">
        <f aca="false">IF(W$1&lt;=2030,$D33+($E33-$D33)*(W$1-2025)/5,IF(W$1&lt;=2035,$E33+($F33-$E33)*(W$1-2030)/5,$F33+($G33-$F33)*(W$1-2035)/5))</f>
        <v>0.12</v>
      </c>
    </row>
    <row r="34" customFormat="false" ht="15" hidden="false" customHeight="false" outlineLevel="0" collapsed="false">
      <c r="A34" s="0" t="s">
        <v>78</v>
      </c>
      <c r="B34" s="0" t="s">
        <v>51</v>
      </c>
      <c r="C34" s="0" t="n">
        <f aca="false">IFERROR(MATCH(A34&amp;"|"&amp;B34&amp;"|"&amp;Control!$B$3,Assumptions!$A$2:$A$112,0),MATCH(A34&amp;"|"&amp;B34&amp;"|All",Assumptions!$A$2:$A$112,0))</f>
        <v>47</v>
      </c>
      <c r="D34" s="0" t="n">
        <f aca="false">INDEX(Assumptions!$E$2:$E$112,$C34)</f>
        <v>0</v>
      </c>
      <c r="E34" s="0" t="n">
        <f aca="false">INDEX(Assumptions!$F$2:$F$112,$C34)</f>
        <v>0.03</v>
      </c>
      <c r="F34" s="0" t="n">
        <f aca="false">INDEX(Assumptions!$G$2:$G$112,$C34)</f>
        <v>0.08</v>
      </c>
      <c r="G34" s="0" t="n">
        <f aca="false">INDEX(Assumptions!$H$2:$H$112,$C34)</f>
        <v>0.12</v>
      </c>
      <c r="H34" s="0" t="n">
        <f aca="false">IF(H$1&lt;=2030,$D34+($E34-$D34)*(H$1-2025)/5,IF(H$1&lt;=2035,$E34+($F34-$E34)*(H$1-2030)/5,$F34+($G34-$F34)*(H$1-2035)/5))</f>
        <v>0</v>
      </c>
      <c r="I34" s="0" t="n">
        <f aca="false">IF(I$1&lt;=2030,$D34+($E34-$D34)*(I$1-2025)/5,IF(I$1&lt;=2035,$E34+($F34-$E34)*(I$1-2030)/5,$F34+($G34-$F34)*(I$1-2035)/5))</f>
        <v>0.006</v>
      </c>
      <c r="J34" s="0" t="n">
        <f aca="false">IF(J$1&lt;=2030,$D34+($E34-$D34)*(J$1-2025)/5,IF(J$1&lt;=2035,$E34+($F34-$E34)*(J$1-2030)/5,$F34+($G34-$F34)*(J$1-2035)/5))</f>
        <v>0.012</v>
      </c>
      <c r="K34" s="0" t="n">
        <f aca="false">IF(K$1&lt;=2030,$D34+($E34-$D34)*(K$1-2025)/5,IF(K$1&lt;=2035,$E34+($F34-$E34)*(K$1-2030)/5,$F34+($G34-$F34)*(K$1-2035)/5))</f>
        <v>0.018</v>
      </c>
      <c r="L34" s="0" t="n">
        <f aca="false">IF(L$1&lt;=2030,$D34+($E34-$D34)*(L$1-2025)/5,IF(L$1&lt;=2035,$E34+($F34-$E34)*(L$1-2030)/5,$F34+($G34-$F34)*(L$1-2035)/5))</f>
        <v>0.024</v>
      </c>
      <c r="M34" s="0" t="n">
        <f aca="false">IF(M$1&lt;=2030,$D34+($E34-$D34)*(M$1-2025)/5,IF(M$1&lt;=2035,$E34+($F34-$E34)*(M$1-2030)/5,$F34+($G34-$F34)*(M$1-2035)/5))</f>
        <v>0.03</v>
      </c>
      <c r="N34" s="0" t="n">
        <f aca="false">IF(N$1&lt;=2030,$D34+($E34-$D34)*(N$1-2025)/5,IF(N$1&lt;=2035,$E34+($F34-$E34)*(N$1-2030)/5,$F34+($G34-$F34)*(N$1-2035)/5))</f>
        <v>0.04</v>
      </c>
      <c r="O34" s="0" t="n">
        <f aca="false">IF(O$1&lt;=2030,$D34+($E34-$D34)*(O$1-2025)/5,IF(O$1&lt;=2035,$E34+($F34-$E34)*(O$1-2030)/5,$F34+($G34-$F34)*(O$1-2035)/5))</f>
        <v>0.05</v>
      </c>
      <c r="P34" s="0" t="n">
        <f aca="false">IF(P$1&lt;=2030,$D34+($E34-$D34)*(P$1-2025)/5,IF(P$1&lt;=2035,$E34+($F34-$E34)*(P$1-2030)/5,$F34+($G34-$F34)*(P$1-2035)/5))</f>
        <v>0.06</v>
      </c>
      <c r="Q34" s="0" t="n">
        <f aca="false">IF(Q$1&lt;=2030,$D34+($E34-$D34)*(Q$1-2025)/5,IF(Q$1&lt;=2035,$E34+($F34-$E34)*(Q$1-2030)/5,$F34+($G34-$F34)*(Q$1-2035)/5))</f>
        <v>0.07</v>
      </c>
      <c r="R34" s="0" t="n">
        <f aca="false">IF(R$1&lt;=2030,$D34+($E34-$D34)*(R$1-2025)/5,IF(R$1&lt;=2035,$E34+($F34-$E34)*(R$1-2030)/5,$F34+($G34-$F34)*(R$1-2035)/5))</f>
        <v>0.08</v>
      </c>
      <c r="S34" s="0" t="n">
        <f aca="false">IF(S$1&lt;=2030,$D34+($E34-$D34)*(S$1-2025)/5,IF(S$1&lt;=2035,$E34+($F34-$E34)*(S$1-2030)/5,$F34+($G34-$F34)*(S$1-2035)/5))</f>
        <v>0.088</v>
      </c>
      <c r="T34" s="0" t="n">
        <f aca="false">IF(T$1&lt;=2030,$D34+($E34-$D34)*(T$1-2025)/5,IF(T$1&lt;=2035,$E34+($F34-$E34)*(T$1-2030)/5,$F34+($G34-$F34)*(T$1-2035)/5))</f>
        <v>0.096</v>
      </c>
      <c r="U34" s="0" t="n">
        <f aca="false">IF(U$1&lt;=2030,$D34+($E34-$D34)*(U$1-2025)/5,IF(U$1&lt;=2035,$E34+($F34-$E34)*(U$1-2030)/5,$F34+($G34-$F34)*(U$1-2035)/5))</f>
        <v>0.104</v>
      </c>
      <c r="V34" s="0" t="n">
        <f aca="false">IF(V$1&lt;=2030,$D34+($E34-$D34)*(V$1-2025)/5,IF(V$1&lt;=2035,$E34+($F34-$E34)*(V$1-2030)/5,$F34+($G34-$F34)*(V$1-2035)/5))</f>
        <v>0.112</v>
      </c>
      <c r="W34" s="0" t="n">
        <f aca="false">IF(W$1&lt;=2030,$D34+($E34-$D34)*(W$1-2025)/5,IF(W$1&lt;=2035,$E34+($F34-$E34)*(W$1-2030)/5,$F34+($G34-$F34)*(W$1-2035)/5))</f>
        <v>0.12</v>
      </c>
    </row>
    <row r="35" customFormat="false" ht="15" hidden="false" customHeight="false" outlineLevel="0" collapsed="false">
      <c r="A35" s="0" t="s">
        <v>78</v>
      </c>
      <c r="B35" s="0" t="s">
        <v>53</v>
      </c>
      <c r="C35" s="0" t="n">
        <f aca="false">IFERROR(MATCH(A35&amp;"|"&amp;B35&amp;"|"&amp;Control!$B$3,Assumptions!$A$2:$A$112,0),MATCH(A35&amp;"|"&amp;B35&amp;"|All",Assumptions!$A$2:$A$112,0))</f>
        <v>48</v>
      </c>
      <c r="D35" s="0" t="n">
        <f aca="false">INDEX(Assumptions!$E$2:$E$112,$C35)</f>
        <v>0</v>
      </c>
      <c r="E35" s="0" t="n">
        <f aca="false">INDEX(Assumptions!$F$2:$F$112,$C35)</f>
        <v>0.03</v>
      </c>
      <c r="F35" s="0" t="n">
        <f aca="false">INDEX(Assumptions!$G$2:$G$112,$C35)</f>
        <v>0.08</v>
      </c>
      <c r="G35" s="0" t="n">
        <f aca="false">INDEX(Assumptions!$H$2:$H$112,$C35)</f>
        <v>0.12</v>
      </c>
      <c r="H35" s="0" t="n">
        <f aca="false">IF(H$1&lt;=2030,$D35+($E35-$D35)*(H$1-2025)/5,IF(H$1&lt;=2035,$E35+($F35-$E35)*(H$1-2030)/5,$F35+($G35-$F35)*(H$1-2035)/5))</f>
        <v>0</v>
      </c>
      <c r="I35" s="0" t="n">
        <f aca="false">IF(I$1&lt;=2030,$D35+($E35-$D35)*(I$1-2025)/5,IF(I$1&lt;=2035,$E35+($F35-$E35)*(I$1-2030)/5,$F35+($G35-$F35)*(I$1-2035)/5))</f>
        <v>0.006</v>
      </c>
      <c r="J35" s="0" t="n">
        <f aca="false">IF(J$1&lt;=2030,$D35+($E35-$D35)*(J$1-2025)/5,IF(J$1&lt;=2035,$E35+($F35-$E35)*(J$1-2030)/5,$F35+($G35-$F35)*(J$1-2035)/5))</f>
        <v>0.012</v>
      </c>
      <c r="K35" s="0" t="n">
        <f aca="false">IF(K$1&lt;=2030,$D35+($E35-$D35)*(K$1-2025)/5,IF(K$1&lt;=2035,$E35+($F35-$E35)*(K$1-2030)/5,$F35+($G35-$F35)*(K$1-2035)/5))</f>
        <v>0.018</v>
      </c>
      <c r="L35" s="0" t="n">
        <f aca="false">IF(L$1&lt;=2030,$D35+($E35-$D35)*(L$1-2025)/5,IF(L$1&lt;=2035,$E35+($F35-$E35)*(L$1-2030)/5,$F35+($G35-$F35)*(L$1-2035)/5))</f>
        <v>0.024</v>
      </c>
      <c r="M35" s="0" t="n">
        <f aca="false">IF(M$1&lt;=2030,$D35+($E35-$D35)*(M$1-2025)/5,IF(M$1&lt;=2035,$E35+($F35-$E35)*(M$1-2030)/5,$F35+($G35-$F35)*(M$1-2035)/5))</f>
        <v>0.03</v>
      </c>
      <c r="N35" s="0" t="n">
        <f aca="false">IF(N$1&lt;=2030,$D35+($E35-$D35)*(N$1-2025)/5,IF(N$1&lt;=2035,$E35+($F35-$E35)*(N$1-2030)/5,$F35+($G35-$F35)*(N$1-2035)/5))</f>
        <v>0.04</v>
      </c>
      <c r="O35" s="0" t="n">
        <f aca="false">IF(O$1&lt;=2030,$D35+($E35-$D35)*(O$1-2025)/5,IF(O$1&lt;=2035,$E35+($F35-$E35)*(O$1-2030)/5,$F35+($G35-$F35)*(O$1-2035)/5))</f>
        <v>0.05</v>
      </c>
      <c r="P35" s="0" t="n">
        <f aca="false">IF(P$1&lt;=2030,$D35+($E35-$D35)*(P$1-2025)/5,IF(P$1&lt;=2035,$E35+($F35-$E35)*(P$1-2030)/5,$F35+($G35-$F35)*(P$1-2035)/5))</f>
        <v>0.06</v>
      </c>
      <c r="Q35" s="0" t="n">
        <f aca="false">IF(Q$1&lt;=2030,$D35+($E35-$D35)*(Q$1-2025)/5,IF(Q$1&lt;=2035,$E35+($F35-$E35)*(Q$1-2030)/5,$F35+($G35-$F35)*(Q$1-2035)/5))</f>
        <v>0.07</v>
      </c>
      <c r="R35" s="0" t="n">
        <f aca="false">IF(R$1&lt;=2030,$D35+($E35-$D35)*(R$1-2025)/5,IF(R$1&lt;=2035,$E35+($F35-$E35)*(R$1-2030)/5,$F35+($G35-$F35)*(R$1-2035)/5))</f>
        <v>0.08</v>
      </c>
      <c r="S35" s="0" t="n">
        <f aca="false">IF(S$1&lt;=2030,$D35+($E35-$D35)*(S$1-2025)/5,IF(S$1&lt;=2035,$E35+($F35-$E35)*(S$1-2030)/5,$F35+($G35-$F35)*(S$1-2035)/5))</f>
        <v>0.088</v>
      </c>
      <c r="T35" s="0" t="n">
        <f aca="false">IF(T$1&lt;=2030,$D35+($E35-$D35)*(T$1-2025)/5,IF(T$1&lt;=2035,$E35+($F35-$E35)*(T$1-2030)/5,$F35+($G35-$F35)*(T$1-2035)/5))</f>
        <v>0.096</v>
      </c>
      <c r="U35" s="0" t="n">
        <f aca="false">IF(U$1&lt;=2030,$D35+($E35-$D35)*(U$1-2025)/5,IF(U$1&lt;=2035,$E35+($F35-$E35)*(U$1-2030)/5,$F35+($G35-$F35)*(U$1-2035)/5))</f>
        <v>0.104</v>
      </c>
      <c r="V35" s="0" t="n">
        <f aca="false">IF(V$1&lt;=2030,$D35+($E35-$D35)*(V$1-2025)/5,IF(V$1&lt;=2035,$E35+($F35-$E35)*(V$1-2030)/5,$F35+($G35-$F35)*(V$1-2035)/5))</f>
        <v>0.112</v>
      </c>
      <c r="W35" s="0" t="n">
        <f aca="false">IF(W$1&lt;=2030,$D35+($E35-$D35)*(W$1-2025)/5,IF(W$1&lt;=2035,$E35+($F35-$E35)*(W$1-2030)/5,$F35+($G35-$F35)*(W$1-2035)/5))</f>
        <v>0.12</v>
      </c>
    </row>
    <row r="36" customFormat="false" ht="15" hidden="false" customHeight="false" outlineLevel="0" collapsed="false">
      <c r="A36" s="0" t="s">
        <v>78</v>
      </c>
      <c r="B36" s="0" t="s">
        <v>77</v>
      </c>
      <c r="C36" s="0" t="n">
        <f aca="false">IFERROR(MATCH(A36&amp;"|"&amp;B36&amp;"|"&amp;Control!$B$3,Assumptions!$A$2:$A$112,0),MATCH(A36&amp;"|"&amp;B36&amp;"|All",Assumptions!$A$2:$A$112,0))</f>
        <v>49</v>
      </c>
      <c r="D36" s="0" t="n">
        <f aca="false">INDEX(Assumptions!$E$2:$E$112,$C36)</f>
        <v>0</v>
      </c>
      <c r="E36" s="0" t="n">
        <f aca="false">INDEX(Assumptions!$F$2:$F$112,$C36)</f>
        <v>0.03</v>
      </c>
      <c r="F36" s="0" t="n">
        <f aca="false">INDEX(Assumptions!$G$2:$G$112,$C36)</f>
        <v>0.08</v>
      </c>
      <c r="G36" s="0" t="n">
        <f aca="false">INDEX(Assumptions!$H$2:$H$112,$C36)</f>
        <v>0.12</v>
      </c>
      <c r="H36" s="0" t="n">
        <f aca="false">IF(H$1&lt;=2030,$D36+($E36-$D36)*(H$1-2025)/5,IF(H$1&lt;=2035,$E36+($F36-$E36)*(H$1-2030)/5,$F36+($G36-$F36)*(H$1-2035)/5))</f>
        <v>0</v>
      </c>
      <c r="I36" s="0" t="n">
        <f aca="false">IF(I$1&lt;=2030,$D36+($E36-$D36)*(I$1-2025)/5,IF(I$1&lt;=2035,$E36+($F36-$E36)*(I$1-2030)/5,$F36+($G36-$F36)*(I$1-2035)/5))</f>
        <v>0.006</v>
      </c>
      <c r="J36" s="0" t="n">
        <f aca="false">IF(J$1&lt;=2030,$D36+($E36-$D36)*(J$1-2025)/5,IF(J$1&lt;=2035,$E36+($F36-$E36)*(J$1-2030)/5,$F36+($G36-$F36)*(J$1-2035)/5))</f>
        <v>0.012</v>
      </c>
      <c r="K36" s="0" t="n">
        <f aca="false">IF(K$1&lt;=2030,$D36+($E36-$D36)*(K$1-2025)/5,IF(K$1&lt;=2035,$E36+($F36-$E36)*(K$1-2030)/5,$F36+($G36-$F36)*(K$1-2035)/5))</f>
        <v>0.018</v>
      </c>
      <c r="L36" s="0" t="n">
        <f aca="false">IF(L$1&lt;=2030,$D36+($E36-$D36)*(L$1-2025)/5,IF(L$1&lt;=2035,$E36+($F36-$E36)*(L$1-2030)/5,$F36+($G36-$F36)*(L$1-2035)/5))</f>
        <v>0.024</v>
      </c>
      <c r="M36" s="0" t="n">
        <f aca="false">IF(M$1&lt;=2030,$D36+($E36-$D36)*(M$1-2025)/5,IF(M$1&lt;=2035,$E36+($F36-$E36)*(M$1-2030)/5,$F36+($G36-$F36)*(M$1-2035)/5))</f>
        <v>0.03</v>
      </c>
      <c r="N36" s="0" t="n">
        <f aca="false">IF(N$1&lt;=2030,$D36+($E36-$D36)*(N$1-2025)/5,IF(N$1&lt;=2035,$E36+($F36-$E36)*(N$1-2030)/5,$F36+($G36-$F36)*(N$1-2035)/5))</f>
        <v>0.04</v>
      </c>
      <c r="O36" s="0" t="n">
        <f aca="false">IF(O$1&lt;=2030,$D36+($E36-$D36)*(O$1-2025)/5,IF(O$1&lt;=2035,$E36+($F36-$E36)*(O$1-2030)/5,$F36+($G36-$F36)*(O$1-2035)/5))</f>
        <v>0.05</v>
      </c>
      <c r="P36" s="0" t="n">
        <f aca="false">IF(P$1&lt;=2030,$D36+($E36-$D36)*(P$1-2025)/5,IF(P$1&lt;=2035,$E36+($F36-$E36)*(P$1-2030)/5,$F36+($G36-$F36)*(P$1-2035)/5))</f>
        <v>0.06</v>
      </c>
      <c r="Q36" s="0" t="n">
        <f aca="false">IF(Q$1&lt;=2030,$D36+($E36-$D36)*(Q$1-2025)/5,IF(Q$1&lt;=2035,$E36+($F36-$E36)*(Q$1-2030)/5,$F36+($G36-$F36)*(Q$1-2035)/5))</f>
        <v>0.07</v>
      </c>
      <c r="R36" s="0" t="n">
        <f aca="false">IF(R$1&lt;=2030,$D36+($E36-$D36)*(R$1-2025)/5,IF(R$1&lt;=2035,$E36+($F36-$E36)*(R$1-2030)/5,$F36+($G36-$F36)*(R$1-2035)/5))</f>
        <v>0.08</v>
      </c>
      <c r="S36" s="0" t="n">
        <f aca="false">IF(S$1&lt;=2030,$D36+($E36-$D36)*(S$1-2025)/5,IF(S$1&lt;=2035,$E36+($F36-$E36)*(S$1-2030)/5,$F36+($G36-$F36)*(S$1-2035)/5))</f>
        <v>0.088</v>
      </c>
      <c r="T36" s="0" t="n">
        <f aca="false">IF(T$1&lt;=2030,$D36+($E36-$D36)*(T$1-2025)/5,IF(T$1&lt;=2035,$E36+($F36-$E36)*(T$1-2030)/5,$F36+($G36-$F36)*(T$1-2035)/5))</f>
        <v>0.096</v>
      </c>
      <c r="U36" s="0" t="n">
        <f aca="false">IF(U$1&lt;=2030,$D36+($E36-$D36)*(U$1-2025)/5,IF(U$1&lt;=2035,$E36+($F36-$E36)*(U$1-2030)/5,$F36+($G36-$F36)*(U$1-2035)/5))</f>
        <v>0.104</v>
      </c>
      <c r="V36" s="0" t="n">
        <f aca="false">IF(V$1&lt;=2030,$D36+($E36-$D36)*(V$1-2025)/5,IF(V$1&lt;=2035,$E36+($F36-$E36)*(V$1-2030)/5,$F36+($G36-$F36)*(V$1-2035)/5))</f>
        <v>0.112</v>
      </c>
      <c r="W36" s="0" t="n">
        <f aca="false">IF(W$1&lt;=2030,$D36+($E36-$D36)*(W$1-2025)/5,IF(W$1&lt;=2035,$E36+($F36-$E36)*(W$1-2030)/5,$F36+($G36-$F36)*(W$1-2035)/5))</f>
        <v>0.12</v>
      </c>
    </row>
    <row r="37" customFormat="false" ht="15" hidden="false" customHeight="false" outlineLevel="0" collapsed="false">
      <c r="A37" s="0" t="s">
        <v>81</v>
      </c>
      <c r="B37" s="0" t="s">
        <v>77</v>
      </c>
      <c r="C37" s="0" t="n">
        <f aca="false">IFERROR(MATCH(A37&amp;"|"&amp;B37&amp;"|"&amp;Control!$B$3,Assumptions!$A$2:$A$112,0),MATCH(A37&amp;"|"&amp;B37&amp;"|All",Assumptions!$A$2:$A$112,0))</f>
        <v>51</v>
      </c>
      <c r="D37" s="0" t="n">
        <f aca="false">INDEX(Assumptions!$E$2:$E$112,$C37)</f>
        <v>4</v>
      </c>
      <c r="E37" s="0" t="n">
        <f aca="false">INDEX(Assumptions!$F$2:$F$112,$C37)</f>
        <v>110</v>
      </c>
      <c r="F37" s="0" t="n">
        <f aca="false">INDEX(Assumptions!$G$2:$G$112,$C37)</f>
        <v>300</v>
      </c>
      <c r="G37" s="0" t="n">
        <f aca="false">INDEX(Assumptions!$H$2:$H$112,$C37)</f>
        <v>500</v>
      </c>
      <c r="H37" s="0" t="n">
        <f aca="false">IF(H$1&lt;=2030,$D37+($E37-$D37)*(H$1-2025)/5,IF(H$1&lt;=2035,$E37+($F37-$E37)*(H$1-2030)/5,$F37+($G37-$F37)*(H$1-2035)/5))</f>
        <v>4</v>
      </c>
      <c r="I37" s="0" t="n">
        <f aca="false">IF(I$1&lt;=2030,$D37+($E37-$D37)*(I$1-2025)/5,IF(I$1&lt;=2035,$E37+($F37-$E37)*(I$1-2030)/5,$F37+($G37-$F37)*(I$1-2035)/5))</f>
        <v>25.2</v>
      </c>
      <c r="J37" s="0" t="n">
        <f aca="false">IF(J$1&lt;=2030,$D37+($E37-$D37)*(J$1-2025)/5,IF(J$1&lt;=2035,$E37+($F37-$E37)*(J$1-2030)/5,$F37+($G37-$F37)*(J$1-2035)/5))</f>
        <v>46.4</v>
      </c>
      <c r="K37" s="0" t="n">
        <f aca="false">IF(K$1&lt;=2030,$D37+($E37-$D37)*(K$1-2025)/5,IF(K$1&lt;=2035,$E37+($F37-$E37)*(K$1-2030)/5,$F37+($G37-$F37)*(K$1-2035)/5))</f>
        <v>67.6</v>
      </c>
      <c r="L37" s="0" t="n">
        <f aca="false">IF(L$1&lt;=2030,$D37+($E37-$D37)*(L$1-2025)/5,IF(L$1&lt;=2035,$E37+($F37-$E37)*(L$1-2030)/5,$F37+($G37-$F37)*(L$1-2035)/5))</f>
        <v>88.8</v>
      </c>
      <c r="M37" s="0" t="n">
        <f aca="false">IF(M$1&lt;=2030,$D37+($E37-$D37)*(M$1-2025)/5,IF(M$1&lt;=2035,$E37+($F37-$E37)*(M$1-2030)/5,$F37+($G37-$F37)*(M$1-2035)/5))</f>
        <v>110</v>
      </c>
      <c r="N37" s="0" t="n">
        <f aca="false">IF(N$1&lt;=2030,$D37+($E37-$D37)*(N$1-2025)/5,IF(N$1&lt;=2035,$E37+($F37-$E37)*(N$1-2030)/5,$F37+($G37-$F37)*(N$1-2035)/5))</f>
        <v>148</v>
      </c>
      <c r="O37" s="0" t="n">
        <f aca="false">IF(O$1&lt;=2030,$D37+($E37-$D37)*(O$1-2025)/5,IF(O$1&lt;=2035,$E37+($F37-$E37)*(O$1-2030)/5,$F37+($G37-$F37)*(O$1-2035)/5))</f>
        <v>186</v>
      </c>
      <c r="P37" s="0" t="n">
        <f aca="false">IF(P$1&lt;=2030,$D37+($E37-$D37)*(P$1-2025)/5,IF(P$1&lt;=2035,$E37+($F37-$E37)*(P$1-2030)/5,$F37+($G37-$F37)*(P$1-2035)/5))</f>
        <v>224</v>
      </c>
      <c r="Q37" s="0" t="n">
        <f aca="false">IF(Q$1&lt;=2030,$D37+($E37-$D37)*(Q$1-2025)/5,IF(Q$1&lt;=2035,$E37+($F37-$E37)*(Q$1-2030)/5,$F37+($G37-$F37)*(Q$1-2035)/5))</f>
        <v>262</v>
      </c>
      <c r="R37" s="0" t="n">
        <f aca="false">IF(R$1&lt;=2030,$D37+($E37-$D37)*(R$1-2025)/5,IF(R$1&lt;=2035,$E37+($F37-$E37)*(R$1-2030)/5,$F37+($G37-$F37)*(R$1-2035)/5))</f>
        <v>300</v>
      </c>
      <c r="S37" s="0" t="n">
        <f aca="false">IF(S$1&lt;=2030,$D37+($E37-$D37)*(S$1-2025)/5,IF(S$1&lt;=2035,$E37+($F37-$E37)*(S$1-2030)/5,$F37+($G37-$F37)*(S$1-2035)/5))</f>
        <v>340</v>
      </c>
      <c r="T37" s="0" t="n">
        <f aca="false">IF(T$1&lt;=2030,$D37+($E37-$D37)*(T$1-2025)/5,IF(T$1&lt;=2035,$E37+($F37-$E37)*(T$1-2030)/5,$F37+($G37-$F37)*(T$1-2035)/5))</f>
        <v>380</v>
      </c>
      <c r="U37" s="0" t="n">
        <f aca="false">IF(U$1&lt;=2030,$D37+($E37-$D37)*(U$1-2025)/5,IF(U$1&lt;=2035,$E37+($F37-$E37)*(U$1-2030)/5,$F37+($G37-$F37)*(U$1-2035)/5))</f>
        <v>420</v>
      </c>
      <c r="V37" s="0" t="n">
        <f aca="false">IF(V$1&lt;=2030,$D37+($E37-$D37)*(V$1-2025)/5,IF(V$1&lt;=2035,$E37+($F37-$E37)*(V$1-2030)/5,$F37+($G37-$F37)*(V$1-2035)/5))</f>
        <v>460</v>
      </c>
      <c r="W37" s="0" t="n">
        <f aca="false">IF(W$1&lt;=2030,$D37+($E37-$D37)*(W$1-2025)/5,IF(W$1&lt;=2035,$E37+($F37-$E37)*(W$1-2030)/5,$F37+($G37-$F37)*(W$1-2035)/5))</f>
        <v>500</v>
      </c>
    </row>
    <row r="38" customFormat="false" ht="15" hidden="false" customHeight="false" outlineLevel="0" collapsed="false">
      <c r="A38" s="0" t="s">
        <v>85</v>
      </c>
      <c r="B38" s="0" t="s">
        <v>86</v>
      </c>
      <c r="C38" s="0" t="n">
        <f aca="false">IFERROR(MATCH(A38&amp;"|"&amp;B38&amp;"|"&amp;Control!$B$3,Assumptions!$A$2:$A$112,0),MATCH(A38&amp;"|"&amp;B38&amp;"|All",Assumptions!$A$2:$A$112,0))</f>
        <v>54</v>
      </c>
      <c r="D38" s="0" t="n">
        <f aca="false">INDEX(Assumptions!$E$2:$E$112,$C38)</f>
        <v>152000000</v>
      </c>
      <c r="E38" s="0" t="n">
        <f aca="false">INDEX(Assumptions!$F$2:$F$112,$C38)</f>
        <v>159753527.6152</v>
      </c>
      <c r="F38" s="0" t="n">
        <f aca="false">INDEX(Assumptions!$G$2:$G$112,$C38)</f>
        <v>167902563.062503</v>
      </c>
      <c r="G38" s="0" t="n">
        <f aca="false">INDEX(Assumptions!$H$2:$H$112,$C38)</f>
        <v>176467281.21624</v>
      </c>
      <c r="H38" s="0" t="n">
        <f aca="false">IF(H$1&lt;=2030,$D38+($E38-$D38)*(H$1-2025)/5,IF(H$1&lt;=2035,$E38+($F38-$E38)*(H$1-2030)/5,$F38+($G38-$F38)*(H$1-2035)/5))</f>
        <v>152000000</v>
      </c>
      <c r="I38" s="0" t="n">
        <f aca="false">IF(I$1&lt;=2030,$D38+($E38-$D38)*(I$1-2025)/5,IF(I$1&lt;=2035,$E38+($F38-$E38)*(I$1-2030)/5,$F38+($G38-$F38)*(I$1-2035)/5))</f>
        <v>153550705.52304</v>
      </c>
      <c r="J38" s="0" t="n">
        <f aca="false">IF(J$1&lt;=2030,$D38+($E38-$D38)*(J$1-2025)/5,IF(J$1&lt;=2035,$E38+($F38-$E38)*(J$1-2030)/5,$F38+($G38-$F38)*(J$1-2035)/5))</f>
        <v>155101411.04608</v>
      </c>
      <c r="K38" s="0" t="n">
        <f aca="false">IF(K$1&lt;=2030,$D38+($E38-$D38)*(K$1-2025)/5,IF(K$1&lt;=2035,$E38+($F38-$E38)*(K$1-2030)/5,$F38+($G38-$F38)*(K$1-2035)/5))</f>
        <v>156652116.56912</v>
      </c>
      <c r="L38" s="0" t="n">
        <f aca="false">IF(L$1&lt;=2030,$D38+($E38-$D38)*(L$1-2025)/5,IF(L$1&lt;=2035,$E38+($F38-$E38)*(L$1-2030)/5,$F38+($G38-$F38)*(L$1-2035)/5))</f>
        <v>158202822.09216</v>
      </c>
      <c r="M38" s="0" t="n">
        <f aca="false">IF(M$1&lt;=2030,$D38+($E38-$D38)*(M$1-2025)/5,IF(M$1&lt;=2035,$E38+($F38-$E38)*(M$1-2030)/5,$F38+($G38-$F38)*(M$1-2035)/5))</f>
        <v>159753527.6152</v>
      </c>
      <c r="N38" s="0" t="n">
        <f aca="false">IF(N$1&lt;=2030,$D38+($E38-$D38)*(N$1-2025)/5,IF(N$1&lt;=2035,$E38+($F38-$E38)*(N$1-2030)/5,$F38+($G38-$F38)*(N$1-2035)/5))</f>
        <v>161383334.704661</v>
      </c>
      <c r="O38" s="0" t="n">
        <f aca="false">IF(O$1&lt;=2030,$D38+($E38-$D38)*(O$1-2025)/5,IF(O$1&lt;=2035,$E38+($F38-$E38)*(O$1-2030)/5,$F38+($G38-$F38)*(O$1-2035)/5))</f>
        <v>163013141.794121</v>
      </c>
      <c r="P38" s="0" t="n">
        <f aca="false">IF(P$1&lt;=2030,$D38+($E38-$D38)*(P$1-2025)/5,IF(P$1&lt;=2035,$E38+($F38-$E38)*(P$1-2030)/5,$F38+($G38-$F38)*(P$1-2035)/5))</f>
        <v>164642948.883582</v>
      </c>
      <c r="Q38" s="0" t="n">
        <f aca="false">IF(Q$1&lt;=2030,$D38+($E38-$D38)*(Q$1-2025)/5,IF(Q$1&lt;=2035,$E38+($F38-$E38)*(Q$1-2030)/5,$F38+($G38-$F38)*(Q$1-2035)/5))</f>
        <v>166272755.973043</v>
      </c>
      <c r="R38" s="0" t="n">
        <f aca="false">IF(R$1&lt;=2030,$D38+($E38-$D38)*(R$1-2025)/5,IF(R$1&lt;=2035,$E38+($F38-$E38)*(R$1-2030)/5,$F38+($G38-$F38)*(R$1-2035)/5))</f>
        <v>167902563.062503</v>
      </c>
      <c r="S38" s="0" t="n">
        <f aca="false">IF(S$1&lt;=2030,$D38+($E38-$D38)*(S$1-2025)/5,IF(S$1&lt;=2035,$E38+($F38-$E38)*(S$1-2030)/5,$F38+($G38-$F38)*(S$1-2035)/5))</f>
        <v>169615506.69325</v>
      </c>
      <c r="T38" s="0" t="n">
        <f aca="false">IF(T$1&lt;=2030,$D38+($E38-$D38)*(T$1-2025)/5,IF(T$1&lt;=2035,$E38+($F38-$E38)*(T$1-2030)/5,$F38+($G38-$F38)*(T$1-2035)/5))</f>
        <v>171328450.323998</v>
      </c>
      <c r="U38" s="0" t="n">
        <f aca="false">IF(U$1&lt;=2030,$D38+($E38-$D38)*(U$1-2025)/5,IF(U$1&lt;=2035,$E38+($F38-$E38)*(U$1-2030)/5,$F38+($G38-$F38)*(U$1-2035)/5))</f>
        <v>173041393.954745</v>
      </c>
      <c r="V38" s="0" t="n">
        <f aca="false">IF(V$1&lt;=2030,$D38+($E38-$D38)*(V$1-2025)/5,IF(V$1&lt;=2035,$E38+($F38-$E38)*(V$1-2030)/5,$F38+($G38-$F38)*(V$1-2035)/5))</f>
        <v>174754337.585492</v>
      </c>
      <c r="W38" s="0" t="n">
        <f aca="false">IF(W$1&lt;=2030,$D38+($E38-$D38)*(W$1-2025)/5,IF(W$1&lt;=2035,$E38+($F38-$E38)*(W$1-2030)/5,$F38+($G38-$F38)*(W$1-2035)/5))</f>
        <v>176467281.21624</v>
      </c>
    </row>
    <row r="39" customFormat="false" ht="15" hidden="false" customHeight="false" outlineLevel="0" collapsed="false">
      <c r="A39" s="0" t="s">
        <v>85</v>
      </c>
      <c r="B39" s="0" t="s">
        <v>92</v>
      </c>
      <c r="C39" s="0" t="n">
        <f aca="false">IFERROR(MATCH(A39&amp;"|"&amp;B39&amp;"|"&amp;Control!$B$3,Assumptions!$A$2:$A$112,0),MATCH(A39&amp;"|"&amp;B39&amp;"|All",Assumptions!$A$2:$A$112,0))</f>
        <v>57</v>
      </c>
      <c r="D39" s="0" t="n">
        <f aca="false">INDEX(Assumptions!$E$2:$E$112,$C39)</f>
        <v>15900000</v>
      </c>
      <c r="E39" s="0" t="n">
        <f aca="false">INDEX(Assumptions!$F$2:$F$112,$C39)</f>
        <v>19344781.14816</v>
      </c>
      <c r="F39" s="0" t="n">
        <f aca="false">INDEX(Assumptions!$G$2:$G$112,$C39)</f>
        <v>23535884.1302017</v>
      </c>
      <c r="G39" s="0" t="n">
        <f aca="false">INDEX(Assumptions!$H$2:$H$112,$C39)</f>
        <v>28635001.73756</v>
      </c>
      <c r="H39" s="0" t="n">
        <f aca="false">IF(H$1&lt;=2030,$D39+($E39-$D39)*(H$1-2025)/5,IF(H$1&lt;=2035,$E39+($F39-$E39)*(H$1-2030)/5,$F39+($G39-$F39)*(H$1-2035)/5))</f>
        <v>15900000</v>
      </c>
      <c r="I39" s="0" t="n">
        <f aca="false">IF(I$1&lt;=2030,$D39+($E39-$D39)*(I$1-2025)/5,IF(I$1&lt;=2035,$E39+($F39-$E39)*(I$1-2030)/5,$F39+($G39-$F39)*(I$1-2035)/5))</f>
        <v>16588956.229632</v>
      </c>
      <c r="J39" s="0" t="n">
        <f aca="false">IF(J$1&lt;=2030,$D39+($E39-$D39)*(J$1-2025)/5,IF(J$1&lt;=2035,$E39+($F39-$E39)*(J$1-2030)/5,$F39+($G39-$F39)*(J$1-2035)/5))</f>
        <v>17277912.459264</v>
      </c>
      <c r="K39" s="0" t="n">
        <f aca="false">IF(K$1&lt;=2030,$D39+($E39-$D39)*(K$1-2025)/5,IF(K$1&lt;=2035,$E39+($F39-$E39)*(K$1-2030)/5,$F39+($G39-$F39)*(K$1-2035)/5))</f>
        <v>17966868.688896</v>
      </c>
      <c r="L39" s="0" t="n">
        <f aca="false">IF(L$1&lt;=2030,$D39+($E39-$D39)*(L$1-2025)/5,IF(L$1&lt;=2035,$E39+($F39-$E39)*(L$1-2030)/5,$F39+($G39-$F39)*(L$1-2035)/5))</f>
        <v>18655824.918528</v>
      </c>
      <c r="M39" s="0" t="n">
        <f aca="false">IF(M$1&lt;=2030,$D39+($E39-$D39)*(M$1-2025)/5,IF(M$1&lt;=2035,$E39+($F39-$E39)*(M$1-2030)/5,$F39+($G39-$F39)*(M$1-2035)/5))</f>
        <v>19344781.14816</v>
      </c>
      <c r="N39" s="0" t="n">
        <f aca="false">IF(N$1&lt;=2030,$D39+($E39-$D39)*(N$1-2025)/5,IF(N$1&lt;=2035,$E39+($F39-$E39)*(N$1-2030)/5,$F39+($G39-$F39)*(N$1-2035)/5))</f>
        <v>20183001.7445683</v>
      </c>
      <c r="O39" s="0" t="n">
        <f aca="false">IF(O$1&lt;=2030,$D39+($E39-$D39)*(O$1-2025)/5,IF(O$1&lt;=2035,$E39+($F39-$E39)*(O$1-2030)/5,$F39+($G39-$F39)*(O$1-2035)/5))</f>
        <v>21021222.3409767</v>
      </c>
      <c r="P39" s="0" t="n">
        <f aca="false">IF(P$1&lt;=2030,$D39+($E39-$D39)*(P$1-2025)/5,IF(P$1&lt;=2035,$E39+($F39-$E39)*(P$1-2030)/5,$F39+($G39-$F39)*(P$1-2035)/5))</f>
        <v>21859442.937385</v>
      </c>
      <c r="Q39" s="0" t="n">
        <f aca="false">IF(Q$1&lt;=2030,$D39+($E39-$D39)*(Q$1-2025)/5,IF(Q$1&lt;=2035,$E39+($F39-$E39)*(Q$1-2030)/5,$F39+($G39-$F39)*(Q$1-2035)/5))</f>
        <v>22697663.5337933</v>
      </c>
      <c r="R39" s="0" t="n">
        <f aca="false">IF(R$1&lt;=2030,$D39+($E39-$D39)*(R$1-2025)/5,IF(R$1&lt;=2035,$E39+($F39-$E39)*(R$1-2030)/5,$F39+($G39-$F39)*(R$1-2035)/5))</f>
        <v>23535884.1302017</v>
      </c>
      <c r="S39" s="0" t="n">
        <f aca="false">IF(S$1&lt;=2030,$D39+($E39-$D39)*(S$1-2025)/5,IF(S$1&lt;=2035,$E39+($F39-$E39)*(S$1-2030)/5,$F39+($G39-$F39)*(S$1-2035)/5))</f>
        <v>24555707.6516733</v>
      </c>
      <c r="T39" s="0" t="n">
        <f aca="false">IF(T$1&lt;=2030,$D39+($E39-$D39)*(T$1-2025)/5,IF(T$1&lt;=2035,$E39+($F39-$E39)*(T$1-2030)/5,$F39+($G39-$F39)*(T$1-2035)/5))</f>
        <v>25575531.173145</v>
      </c>
      <c r="U39" s="0" t="n">
        <f aca="false">IF(U$1&lt;=2030,$D39+($E39-$D39)*(U$1-2025)/5,IF(U$1&lt;=2035,$E39+($F39-$E39)*(U$1-2030)/5,$F39+($G39-$F39)*(U$1-2035)/5))</f>
        <v>26595354.6946167</v>
      </c>
      <c r="V39" s="0" t="n">
        <f aca="false">IF(V$1&lt;=2030,$D39+($E39-$D39)*(V$1-2025)/5,IF(V$1&lt;=2035,$E39+($F39-$E39)*(V$1-2030)/5,$F39+($G39-$F39)*(V$1-2035)/5))</f>
        <v>27615178.2160883</v>
      </c>
      <c r="W39" s="0" t="n">
        <f aca="false">IF(W$1&lt;=2030,$D39+($E39-$D39)*(W$1-2025)/5,IF(W$1&lt;=2035,$E39+($F39-$E39)*(W$1-2030)/5,$F39+($G39-$F39)*(W$1-2035)/5))</f>
        <v>28635001.73756</v>
      </c>
    </row>
    <row r="40" customFormat="false" ht="15" hidden="false" customHeight="false" outlineLevel="0" collapsed="false">
      <c r="A40" s="0" t="s">
        <v>85</v>
      </c>
      <c r="B40" s="0" t="s">
        <v>97</v>
      </c>
      <c r="C40" s="0" t="n">
        <f aca="false">IFERROR(MATCH(A40&amp;"|"&amp;B40&amp;"|"&amp;Control!$B$3,Assumptions!$A$2:$A$112,0),MATCH(A40&amp;"|"&amp;B40&amp;"|All",Assumptions!$A$2:$A$112,0))</f>
        <v>60</v>
      </c>
      <c r="D40" s="0" t="n">
        <f aca="false">INDEX(Assumptions!$E$2:$E$112,$C40)</f>
        <v>4500000</v>
      </c>
      <c r="E40" s="0" t="n">
        <f aca="false">INDEX(Assumptions!$F$2:$F$112,$C40)</f>
        <v>5216733.33435</v>
      </c>
      <c r="F40" s="0" t="n">
        <f aca="false">INDEX(Assumptions!$G$2:$G$112,$C40)</f>
        <v>6047623.70704855</v>
      </c>
      <c r="G40" s="0" t="n">
        <f aca="false">INDEX(Assumptions!$H$2:$H$112,$C40)</f>
        <v>7010853.37470344</v>
      </c>
      <c r="H40" s="0" t="n">
        <f aca="false">IF(H$1&lt;=2030,$D40+($E40-$D40)*(H$1-2025)/5,IF(H$1&lt;=2035,$E40+($F40-$E40)*(H$1-2030)/5,$F40+($G40-$F40)*(H$1-2035)/5))</f>
        <v>4500000</v>
      </c>
      <c r="I40" s="0" t="n">
        <f aca="false">IF(I$1&lt;=2030,$D40+($E40-$D40)*(I$1-2025)/5,IF(I$1&lt;=2035,$E40+($F40-$E40)*(I$1-2030)/5,$F40+($G40-$F40)*(I$1-2035)/5))</f>
        <v>4643346.66687</v>
      </c>
      <c r="J40" s="0" t="n">
        <f aca="false">IF(J$1&lt;=2030,$D40+($E40-$D40)*(J$1-2025)/5,IF(J$1&lt;=2035,$E40+($F40-$E40)*(J$1-2030)/5,$F40+($G40-$F40)*(J$1-2035)/5))</f>
        <v>4786693.33374</v>
      </c>
      <c r="K40" s="0" t="n">
        <f aca="false">IF(K$1&lt;=2030,$D40+($E40-$D40)*(K$1-2025)/5,IF(K$1&lt;=2035,$E40+($F40-$E40)*(K$1-2030)/5,$F40+($G40-$F40)*(K$1-2035)/5))</f>
        <v>4930040.00061</v>
      </c>
      <c r="L40" s="0" t="n">
        <f aca="false">IF(L$1&lt;=2030,$D40+($E40-$D40)*(L$1-2025)/5,IF(L$1&lt;=2035,$E40+($F40-$E40)*(L$1-2030)/5,$F40+($G40-$F40)*(L$1-2035)/5))</f>
        <v>5073386.66748</v>
      </c>
      <c r="M40" s="0" t="n">
        <f aca="false">IF(M$1&lt;=2030,$D40+($E40-$D40)*(M$1-2025)/5,IF(M$1&lt;=2035,$E40+($F40-$E40)*(M$1-2030)/5,$F40+($G40-$F40)*(M$1-2035)/5))</f>
        <v>5216733.33435</v>
      </c>
      <c r="N40" s="0" t="n">
        <f aca="false">IF(N$1&lt;=2030,$D40+($E40-$D40)*(N$1-2025)/5,IF(N$1&lt;=2035,$E40+($F40-$E40)*(N$1-2030)/5,$F40+($G40-$F40)*(N$1-2035)/5))</f>
        <v>5382911.40888971</v>
      </c>
      <c r="O40" s="0" t="n">
        <f aca="false">IF(O$1&lt;=2030,$D40+($E40-$D40)*(O$1-2025)/5,IF(O$1&lt;=2035,$E40+($F40-$E40)*(O$1-2030)/5,$F40+($G40-$F40)*(O$1-2035)/5))</f>
        <v>5549089.48342942</v>
      </c>
      <c r="P40" s="0" t="n">
        <f aca="false">IF(P$1&lt;=2030,$D40+($E40-$D40)*(P$1-2025)/5,IF(P$1&lt;=2035,$E40+($F40-$E40)*(P$1-2030)/5,$F40+($G40-$F40)*(P$1-2035)/5))</f>
        <v>5715267.55796913</v>
      </c>
      <c r="Q40" s="0" t="n">
        <f aca="false">IF(Q$1&lt;=2030,$D40+($E40-$D40)*(Q$1-2025)/5,IF(Q$1&lt;=2035,$E40+($F40-$E40)*(Q$1-2030)/5,$F40+($G40-$F40)*(Q$1-2035)/5))</f>
        <v>5881445.63250884</v>
      </c>
      <c r="R40" s="0" t="n">
        <f aca="false">IF(R$1&lt;=2030,$D40+($E40-$D40)*(R$1-2025)/5,IF(R$1&lt;=2035,$E40+($F40-$E40)*(R$1-2030)/5,$F40+($G40-$F40)*(R$1-2035)/5))</f>
        <v>6047623.70704855</v>
      </c>
      <c r="S40" s="0" t="n">
        <f aca="false">IF(S$1&lt;=2030,$D40+($E40-$D40)*(S$1-2025)/5,IF(S$1&lt;=2035,$E40+($F40-$E40)*(S$1-2030)/5,$F40+($G40-$F40)*(S$1-2035)/5))</f>
        <v>6240269.64057953</v>
      </c>
      <c r="T40" s="0" t="n">
        <f aca="false">IF(T$1&lt;=2030,$D40+($E40-$D40)*(T$1-2025)/5,IF(T$1&lt;=2035,$E40+($F40-$E40)*(T$1-2030)/5,$F40+($G40-$F40)*(T$1-2035)/5))</f>
        <v>6432915.57411051</v>
      </c>
      <c r="U40" s="0" t="n">
        <f aca="false">IF(U$1&lt;=2030,$D40+($E40-$D40)*(U$1-2025)/5,IF(U$1&lt;=2035,$E40+($F40-$E40)*(U$1-2030)/5,$F40+($G40-$F40)*(U$1-2035)/5))</f>
        <v>6625561.50764149</v>
      </c>
      <c r="V40" s="0" t="n">
        <f aca="false">IF(V$1&lt;=2030,$D40+($E40-$D40)*(V$1-2025)/5,IF(V$1&lt;=2035,$E40+($F40-$E40)*(V$1-2030)/5,$F40+($G40-$F40)*(V$1-2035)/5))</f>
        <v>6818207.44117246</v>
      </c>
      <c r="W40" s="0" t="n">
        <f aca="false">IF(W$1&lt;=2030,$D40+($E40-$D40)*(W$1-2025)/5,IF(W$1&lt;=2035,$E40+($F40-$E40)*(W$1-2030)/5,$F40+($G40-$F40)*(W$1-2035)/5))</f>
        <v>7010853.37470344</v>
      </c>
    </row>
    <row r="41" customFormat="false" ht="15" hidden="false" customHeight="false" outlineLevel="0" collapsed="false">
      <c r="A41" s="0" t="s">
        <v>85</v>
      </c>
      <c r="B41" s="0" t="s">
        <v>100</v>
      </c>
      <c r="C41" s="0" t="n">
        <f aca="false">IFERROR(MATCH(A41&amp;"|"&amp;B41&amp;"|"&amp;Control!$B$3,Assumptions!$A$2:$A$112,0),MATCH(A41&amp;"|"&amp;B41&amp;"|All",Assumptions!$A$2:$A$112,0))</f>
        <v>63</v>
      </c>
      <c r="D41" s="0" t="n">
        <f aca="false">INDEX(Assumptions!$E$2:$E$112,$C41)</f>
        <v>114200000</v>
      </c>
      <c r="E41" s="0" t="n">
        <f aca="false">INDEX(Assumptions!$F$2:$F$112,$C41)</f>
        <v>120025347.72142</v>
      </c>
      <c r="F41" s="0" t="n">
        <f aca="false">INDEX(Assumptions!$G$2:$G$112,$C41)</f>
        <v>126147846.72196</v>
      </c>
      <c r="G41" s="0" t="n">
        <f aca="false">INDEX(Assumptions!$H$2:$H$112,$C41)</f>
        <v>132582654.703254</v>
      </c>
      <c r="H41" s="0" t="n">
        <f aca="false">IF(H$1&lt;=2030,$D41+($E41-$D41)*(H$1-2025)/5,IF(H$1&lt;=2035,$E41+($F41-$E41)*(H$1-2030)/5,$F41+($G41-$F41)*(H$1-2035)/5))</f>
        <v>114200000</v>
      </c>
      <c r="I41" s="0" t="n">
        <f aca="false">IF(I$1&lt;=2030,$D41+($E41-$D41)*(I$1-2025)/5,IF(I$1&lt;=2035,$E41+($F41-$E41)*(I$1-2030)/5,$F41+($G41-$F41)*(I$1-2035)/5))</f>
        <v>115365069.544284</v>
      </c>
      <c r="J41" s="0" t="n">
        <f aca="false">IF(J$1&lt;=2030,$D41+($E41-$D41)*(J$1-2025)/5,IF(J$1&lt;=2035,$E41+($F41-$E41)*(J$1-2030)/5,$F41+($G41-$F41)*(J$1-2035)/5))</f>
        <v>116530139.088568</v>
      </c>
      <c r="K41" s="0" t="n">
        <f aca="false">IF(K$1&lt;=2030,$D41+($E41-$D41)*(K$1-2025)/5,IF(K$1&lt;=2035,$E41+($F41-$E41)*(K$1-2030)/5,$F41+($G41-$F41)*(K$1-2035)/5))</f>
        <v>117695208.632852</v>
      </c>
      <c r="L41" s="0" t="n">
        <f aca="false">IF(L$1&lt;=2030,$D41+($E41-$D41)*(L$1-2025)/5,IF(L$1&lt;=2035,$E41+($F41-$E41)*(L$1-2030)/5,$F41+($G41-$F41)*(L$1-2035)/5))</f>
        <v>118860278.177136</v>
      </c>
      <c r="M41" s="0" t="n">
        <f aca="false">IF(M$1&lt;=2030,$D41+($E41-$D41)*(M$1-2025)/5,IF(M$1&lt;=2035,$E41+($F41-$E41)*(M$1-2030)/5,$F41+($G41-$F41)*(M$1-2035)/5))</f>
        <v>120025347.72142</v>
      </c>
      <c r="N41" s="0" t="n">
        <f aca="false">IF(N$1&lt;=2030,$D41+($E41-$D41)*(N$1-2025)/5,IF(N$1&lt;=2035,$E41+($F41-$E41)*(N$1-2030)/5,$F41+($G41-$F41)*(N$1-2035)/5))</f>
        <v>121249847.521528</v>
      </c>
      <c r="O41" s="0" t="n">
        <f aca="false">IF(O$1&lt;=2030,$D41+($E41-$D41)*(O$1-2025)/5,IF(O$1&lt;=2035,$E41+($F41-$E41)*(O$1-2030)/5,$F41+($G41-$F41)*(O$1-2035)/5))</f>
        <v>122474347.321636</v>
      </c>
      <c r="P41" s="0" t="n">
        <f aca="false">IF(P$1&lt;=2030,$D41+($E41-$D41)*(P$1-2025)/5,IF(P$1&lt;=2035,$E41+($F41-$E41)*(P$1-2030)/5,$F41+($G41-$F41)*(P$1-2035)/5))</f>
        <v>123698847.121744</v>
      </c>
      <c r="Q41" s="0" t="n">
        <f aca="false">IF(Q$1&lt;=2030,$D41+($E41-$D41)*(Q$1-2025)/5,IF(Q$1&lt;=2035,$E41+($F41-$E41)*(Q$1-2030)/5,$F41+($G41-$F41)*(Q$1-2035)/5))</f>
        <v>124923346.921852</v>
      </c>
      <c r="R41" s="0" t="n">
        <f aca="false">IF(R$1&lt;=2030,$D41+($E41-$D41)*(R$1-2025)/5,IF(R$1&lt;=2035,$E41+($F41-$E41)*(R$1-2030)/5,$F41+($G41-$F41)*(R$1-2035)/5))</f>
        <v>126147846.72196</v>
      </c>
      <c r="S41" s="0" t="n">
        <f aca="false">IF(S$1&lt;=2030,$D41+($E41-$D41)*(S$1-2025)/5,IF(S$1&lt;=2035,$E41+($F41-$E41)*(S$1-2030)/5,$F41+($G41-$F41)*(S$1-2035)/5))</f>
        <v>127434808.318218</v>
      </c>
      <c r="T41" s="0" t="n">
        <f aca="false">IF(T$1&lt;=2030,$D41+($E41-$D41)*(T$1-2025)/5,IF(T$1&lt;=2035,$E41+($F41-$E41)*(T$1-2030)/5,$F41+($G41-$F41)*(T$1-2035)/5))</f>
        <v>128721769.914477</v>
      </c>
      <c r="U41" s="0" t="n">
        <f aca="false">IF(U$1&lt;=2030,$D41+($E41-$D41)*(U$1-2025)/5,IF(U$1&lt;=2035,$E41+($F41-$E41)*(U$1-2030)/5,$F41+($G41-$F41)*(U$1-2035)/5))</f>
        <v>130008731.510736</v>
      </c>
      <c r="V41" s="0" t="n">
        <f aca="false">IF(V$1&lt;=2030,$D41+($E41-$D41)*(V$1-2025)/5,IF(V$1&lt;=2035,$E41+($F41-$E41)*(V$1-2030)/5,$F41+($G41-$F41)*(V$1-2035)/5))</f>
        <v>131295693.106995</v>
      </c>
      <c r="W41" s="0" t="n">
        <f aca="false">IF(W$1&lt;=2030,$D41+($E41-$D41)*(W$1-2025)/5,IF(W$1&lt;=2035,$E41+($F41-$E41)*(W$1-2030)/5,$F41+($G41-$F41)*(W$1-2035)/5))</f>
        <v>132582654.703254</v>
      </c>
    </row>
    <row r="42" customFormat="false" ht="15" hidden="false" customHeight="false" outlineLevel="0" collapsed="false">
      <c r="A42" s="0" t="s">
        <v>85</v>
      </c>
      <c r="B42" s="0" t="s">
        <v>103</v>
      </c>
      <c r="C42" s="0" t="n">
        <f aca="false">IFERROR(MATCH(A42&amp;"|"&amp;B42&amp;"|"&amp;Control!$B$3,Assumptions!$A$2:$A$112,0),MATCH(A42&amp;"|"&amp;B42&amp;"|All",Assumptions!$A$2:$A$112,0))</f>
        <v>66</v>
      </c>
      <c r="D42" s="0" t="n">
        <f aca="false">INDEX(Assumptions!$E$2:$E$112,$C42)</f>
        <v>25000000</v>
      </c>
      <c r="E42" s="0" t="n">
        <f aca="false">INDEX(Assumptions!$F$2:$F$112,$C42)</f>
        <v>27602020.08</v>
      </c>
      <c r="F42" s="0" t="n">
        <f aca="false">INDEX(Assumptions!$G$2:$G$112,$C42)</f>
        <v>30474860.4998689</v>
      </c>
      <c r="G42" s="0" t="n">
        <f aca="false">INDEX(Assumptions!$H$2:$H$112,$C42)</f>
        <v>33646708.4581033</v>
      </c>
      <c r="H42" s="0" t="n">
        <f aca="false">IF(H$1&lt;=2030,$D42+($E42-$D42)*(H$1-2025)/5,IF(H$1&lt;=2035,$E42+($F42-$E42)*(H$1-2030)/5,$F42+($G42-$F42)*(H$1-2035)/5))</f>
        <v>25000000</v>
      </c>
      <c r="I42" s="0" t="n">
        <f aca="false">IF(I$1&lt;=2030,$D42+($E42-$D42)*(I$1-2025)/5,IF(I$1&lt;=2035,$E42+($F42-$E42)*(I$1-2030)/5,$F42+($G42-$F42)*(I$1-2035)/5))</f>
        <v>25520404.016</v>
      </c>
      <c r="J42" s="0" t="n">
        <f aca="false">IF(J$1&lt;=2030,$D42+($E42-$D42)*(J$1-2025)/5,IF(J$1&lt;=2035,$E42+($F42-$E42)*(J$1-2030)/5,$F42+($G42-$F42)*(J$1-2035)/5))</f>
        <v>26040808.032</v>
      </c>
      <c r="K42" s="0" t="n">
        <f aca="false">IF(K$1&lt;=2030,$D42+($E42-$D42)*(K$1-2025)/5,IF(K$1&lt;=2035,$E42+($F42-$E42)*(K$1-2030)/5,$F42+($G42-$F42)*(K$1-2035)/5))</f>
        <v>26561212.048</v>
      </c>
      <c r="L42" s="0" t="n">
        <f aca="false">IF(L$1&lt;=2030,$D42+($E42-$D42)*(L$1-2025)/5,IF(L$1&lt;=2035,$E42+($F42-$E42)*(L$1-2030)/5,$F42+($G42-$F42)*(L$1-2035)/5))</f>
        <v>27081616.064</v>
      </c>
      <c r="M42" s="0" t="n">
        <f aca="false">IF(M$1&lt;=2030,$D42+($E42-$D42)*(M$1-2025)/5,IF(M$1&lt;=2035,$E42+($F42-$E42)*(M$1-2030)/5,$F42+($G42-$F42)*(M$1-2035)/5))</f>
        <v>27602020.08</v>
      </c>
      <c r="N42" s="0" t="n">
        <f aca="false">IF(N$1&lt;=2030,$D42+($E42-$D42)*(N$1-2025)/5,IF(N$1&lt;=2035,$E42+($F42-$E42)*(N$1-2030)/5,$F42+($G42-$F42)*(N$1-2035)/5))</f>
        <v>28176588.1639738</v>
      </c>
      <c r="O42" s="0" t="n">
        <f aca="false">IF(O$1&lt;=2030,$D42+($E42-$D42)*(O$1-2025)/5,IF(O$1&lt;=2035,$E42+($F42-$E42)*(O$1-2030)/5,$F42+($G42-$F42)*(O$1-2035)/5))</f>
        <v>28751156.2479476</v>
      </c>
      <c r="P42" s="0" t="n">
        <f aca="false">IF(P$1&lt;=2030,$D42+($E42-$D42)*(P$1-2025)/5,IF(P$1&lt;=2035,$E42+($F42-$E42)*(P$1-2030)/5,$F42+($G42-$F42)*(P$1-2035)/5))</f>
        <v>29325724.3319214</v>
      </c>
      <c r="Q42" s="0" t="n">
        <f aca="false">IF(Q$1&lt;=2030,$D42+($E42-$D42)*(Q$1-2025)/5,IF(Q$1&lt;=2035,$E42+($F42-$E42)*(Q$1-2030)/5,$F42+($G42-$F42)*(Q$1-2035)/5))</f>
        <v>29900292.4158951</v>
      </c>
      <c r="R42" s="0" t="n">
        <f aca="false">IF(R$1&lt;=2030,$D42+($E42-$D42)*(R$1-2025)/5,IF(R$1&lt;=2035,$E42+($F42-$E42)*(R$1-2030)/5,$F42+($G42-$F42)*(R$1-2035)/5))</f>
        <v>30474860.4998689</v>
      </c>
      <c r="S42" s="0" t="n">
        <f aca="false">IF(S$1&lt;=2030,$D42+($E42-$D42)*(S$1-2025)/5,IF(S$1&lt;=2035,$E42+($F42-$E42)*(S$1-2030)/5,$F42+($G42-$F42)*(S$1-2035)/5))</f>
        <v>31109230.0915158</v>
      </c>
      <c r="T42" s="0" t="n">
        <f aca="false">IF(T$1&lt;=2030,$D42+($E42-$D42)*(T$1-2025)/5,IF(T$1&lt;=2035,$E42+($F42-$E42)*(T$1-2030)/5,$F42+($G42-$F42)*(T$1-2035)/5))</f>
        <v>31743599.6831627</v>
      </c>
      <c r="U42" s="0" t="n">
        <f aca="false">IF(U$1&lt;=2030,$D42+($E42-$D42)*(U$1-2025)/5,IF(U$1&lt;=2035,$E42+($F42-$E42)*(U$1-2030)/5,$F42+($G42-$F42)*(U$1-2035)/5))</f>
        <v>32377969.2748095</v>
      </c>
      <c r="V42" s="0" t="n">
        <f aca="false">IF(V$1&lt;=2030,$D42+($E42-$D42)*(V$1-2025)/5,IF(V$1&lt;=2035,$E42+($F42-$E42)*(V$1-2030)/5,$F42+($G42-$F42)*(V$1-2035)/5))</f>
        <v>33012338.8664564</v>
      </c>
      <c r="W42" s="0" t="n">
        <f aca="false">IF(W$1&lt;=2030,$D42+($E42-$D42)*(W$1-2025)/5,IF(W$1&lt;=2035,$E42+($F42-$E42)*(W$1-2030)/5,$F42+($G42-$F42)*(W$1-2035)/5))</f>
        <v>33646708.4581033</v>
      </c>
    </row>
    <row r="43" customFormat="false" ht="15" hidden="false" customHeight="false" outlineLevel="0" collapsed="false">
      <c r="A43" s="0" t="s">
        <v>85</v>
      </c>
      <c r="B43" s="0" t="s">
        <v>104</v>
      </c>
      <c r="C43" s="0" t="n">
        <f aca="false">IFERROR(MATCH(A43&amp;"|"&amp;B43&amp;"|"&amp;Control!$B$3,Assumptions!$A$2:$A$112,0),MATCH(A43&amp;"|"&amp;B43&amp;"|All",Assumptions!$A$2:$A$112,0))</f>
        <v>69</v>
      </c>
      <c r="D43" s="0" t="n">
        <f aca="false">INDEX(Assumptions!$E$2:$E$112,$C43)</f>
        <v>90000000</v>
      </c>
      <c r="E43" s="0" t="n">
        <f aca="false">INDEX(Assumptions!$F$2:$F$112,$C43)</f>
        <v>126229655.763</v>
      </c>
      <c r="F43" s="0" t="n">
        <f aca="false">INDEX(Assumptions!$G$2:$G$112,$C43)</f>
        <v>177043622.156061</v>
      </c>
      <c r="G43" s="0" t="n">
        <f aca="false">INDEX(Assumptions!$H$2:$H$112,$C43)</f>
        <v>248312838.66438</v>
      </c>
      <c r="H43" s="0" t="n">
        <f aca="false">IF(H$1&lt;=2030,$D43+($E43-$D43)*(H$1-2025)/5,IF(H$1&lt;=2035,$E43+($F43-$E43)*(H$1-2030)/5,$F43+($G43-$F43)*(H$1-2035)/5))</f>
        <v>90000000</v>
      </c>
      <c r="I43" s="0" t="n">
        <f aca="false">IF(I$1&lt;=2030,$D43+($E43-$D43)*(I$1-2025)/5,IF(I$1&lt;=2035,$E43+($F43-$E43)*(I$1-2030)/5,$F43+($G43-$F43)*(I$1-2035)/5))</f>
        <v>97245931.1526</v>
      </c>
      <c r="J43" s="0" t="n">
        <f aca="false">IF(J$1&lt;=2030,$D43+($E43-$D43)*(J$1-2025)/5,IF(J$1&lt;=2035,$E43+($F43-$E43)*(J$1-2030)/5,$F43+($G43-$F43)*(J$1-2035)/5))</f>
        <v>104491862.3052</v>
      </c>
      <c r="K43" s="0" t="n">
        <f aca="false">IF(K$1&lt;=2030,$D43+($E43-$D43)*(K$1-2025)/5,IF(K$1&lt;=2035,$E43+($F43-$E43)*(K$1-2030)/5,$F43+($G43-$F43)*(K$1-2035)/5))</f>
        <v>111737793.4578</v>
      </c>
      <c r="L43" s="0" t="n">
        <f aca="false">IF(L$1&lt;=2030,$D43+($E43-$D43)*(L$1-2025)/5,IF(L$1&lt;=2035,$E43+($F43-$E43)*(L$1-2030)/5,$F43+($G43-$F43)*(L$1-2035)/5))</f>
        <v>118983724.6104</v>
      </c>
      <c r="M43" s="0" t="n">
        <f aca="false">IF(M$1&lt;=2030,$D43+($E43-$D43)*(M$1-2025)/5,IF(M$1&lt;=2035,$E43+($F43-$E43)*(M$1-2030)/5,$F43+($G43-$F43)*(M$1-2035)/5))</f>
        <v>126229655.763</v>
      </c>
      <c r="N43" s="0" t="n">
        <f aca="false">IF(N$1&lt;=2030,$D43+($E43-$D43)*(N$1-2025)/5,IF(N$1&lt;=2035,$E43+($F43-$E43)*(N$1-2030)/5,$F43+($G43-$F43)*(N$1-2035)/5))</f>
        <v>136392449.041612</v>
      </c>
      <c r="O43" s="0" t="n">
        <f aca="false">IF(O$1&lt;=2030,$D43+($E43-$D43)*(O$1-2025)/5,IF(O$1&lt;=2035,$E43+($F43-$E43)*(O$1-2030)/5,$F43+($G43-$F43)*(O$1-2035)/5))</f>
        <v>146555242.320224</v>
      </c>
      <c r="P43" s="0" t="n">
        <f aca="false">IF(P$1&lt;=2030,$D43+($E43-$D43)*(P$1-2025)/5,IF(P$1&lt;=2035,$E43+($F43-$E43)*(P$1-2030)/5,$F43+($G43-$F43)*(P$1-2035)/5))</f>
        <v>156718035.598837</v>
      </c>
      <c r="Q43" s="0" t="n">
        <f aca="false">IF(Q$1&lt;=2030,$D43+($E43-$D43)*(Q$1-2025)/5,IF(Q$1&lt;=2035,$E43+($F43-$E43)*(Q$1-2030)/5,$F43+($G43-$F43)*(Q$1-2035)/5))</f>
        <v>166880828.877449</v>
      </c>
      <c r="R43" s="0" t="n">
        <f aca="false">IF(R$1&lt;=2030,$D43+($E43-$D43)*(R$1-2025)/5,IF(R$1&lt;=2035,$E43+($F43-$E43)*(R$1-2030)/5,$F43+($G43-$F43)*(R$1-2035)/5))</f>
        <v>177043622.156061</v>
      </c>
      <c r="S43" s="0" t="n">
        <f aca="false">IF(S$1&lt;=2030,$D43+($E43-$D43)*(S$1-2025)/5,IF(S$1&lt;=2035,$E43+($F43-$E43)*(S$1-2030)/5,$F43+($G43-$F43)*(S$1-2035)/5))</f>
        <v>191297465.457725</v>
      </c>
      <c r="T43" s="0" t="n">
        <f aca="false">IF(T$1&lt;=2030,$D43+($E43-$D43)*(T$1-2025)/5,IF(T$1&lt;=2035,$E43+($F43-$E43)*(T$1-2030)/5,$F43+($G43-$F43)*(T$1-2035)/5))</f>
        <v>205551308.759389</v>
      </c>
      <c r="U43" s="0" t="n">
        <f aca="false">IF(U$1&lt;=2030,$D43+($E43-$D43)*(U$1-2025)/5,IF(U$1&lt;=2035,$E43+($F43-$E43)*(U$1-2030)/5,$F43+($G43-$F43)*(U$1-2035)/5))</f>
        <v>219805152.061053</v>
      </c>
      <c r="V43" s="0" t="n">
        <f aca="false">IF(V$1&lt;=2030,$D43+($E43-$D43)*(V$1-2025)/5,IF(V$1&lt;=2035,$E43+($F43-$E43)*(V$1-2030)/5,$F43+($G43-$F43)*(V$1-2035)/5))</f>
        <v>234058995.362716</v>
      </c>
      <c r="W43" s="0" t="n">
        <f aca="false">IF(W$1&lt;=2030,$D43+($E43-$D43)*(W$1-2025)/5,IF(W$1&lt;=2035,$E43+($F43-$E43)*(W$1-2030)/5,$F43+($G43-$F43)*(W$1-2035)/5))</f>
        <v>248312838.66438</v>
      </c>
    </row>
    <row r="44" customFormat="false" ht="15" hidden="false" customHeight="false" outlineLevel="0" collapsed="false">
      <c r="A44" s="0" t="s">
        <v>109</v>
      </c>
      <c r="B44" s="0" t="s">
        <v>86</v>
      </c>
      <c r="C44" s="0" t="n">
        <f aca="false">IFERROR(MATCH(A44&amp;"|"&amp;B44&amp;"|"&amp;Control!$B$3,Assumptions!$A$2:$A$112,0),MATCH(A44&amp;"|"&amp;B44&amp;"|All",Assumptions!$A$2:$A$112,0))</f>
        <v>71</v>
      </c>
      <c r="D44" s="0" t="n">
        <f aca="false">INDEX(Assumptions!$E$2:$E$112,$C44)</f>
        <v>19.4</v>
      </c>
      <c r="E44" s="0" t="n">
        <f aca="false">INDEX(Assumptions!$F$2:$F$112,$C44)</f>
        <v>21</v>
      </c>
      <c r="F44" s="0" t="n">
        <f aca="false">INDEX(Assumptions!$G$2:$G$112,$C44)</f>
        <v>23</v>
      </c>
      <c r="G44" s="0" t="n">
        <f aca="false">INDEX(Assumptions!$H$2:$H$112,$C44)</f>
        <v>24</v>
      </c>
      <c r="H44" s="0" t="n">
        <f aca="false">IF(H$1&lt;=2030,$D44+($E44-$D44)*(H$1-2025)/5,IF(H$1&lt;=2035,$E44+($F44-$E44)*(H$1-2030)/5,$F44+($G44-$F44)*(H$1-2035)/5))</f>
        <v>19.4</v>
      </c>
      <c r="I44" s="0" t="n">
        <f aca="false">IF(I$1&lt;=2030,$D44+($E44-$D44)*(I$1-2025)/5,IF(I$1&lt;=2035,$E44+($F44-$E44)*(I$1-2030)/5,$F44+($G44-$F44)*(I$1-2035)/5))</f>
        <v>19.72</v>
      </c>
      <c r="J44" s="0" t="n">
        <f aca="false">IF(J$1&lt;=2030,$D44+($E44-$D44)*(J$1-2025)/5,IF(J$1&lt;=2035,$E44+($F44-$E44)*(J$1-2030)/5,$F44+($G44-$F44)*(J$1-2035)/5))</f>
        <v>20.04</v>
      </c>
      <c r="K44" s="0" t="n">
        <f aca="false">IF(K$1&lt;=2030,$D44+($E44-$D44)*(K$1-2025)/5,IF(K$1&lt;=2035,$E44+($F44-$E44)*(K$1-2030)/5,$F44+($G44-$F44)*(K$1-2035)/5))</f>
        <v>20.36</v>
      </c>
      <c r="L44" s="0" t="n">
        <f aca="false">IF(L$1&lt;=2030,$D44+($E44-$D44)*(L$1-2025)/5,IF(L$1&lt;=2035,$E44+($F44-$E44)*(L$1-2030)/5,$F44+($G44-$F44)*(L$1-2035)/5))</f>
        <v>20.68</v>
      </c>
      <c r="M44" s="0" t="n">
        <f aca="false">IF(M$1&lt;=2030,$D44+($E44-$D44)*(M$1-2025)/5,IF(M$1&lt;=2035,$E44+($F44-$E44)*(M$1-2030)/5,$F44+($G44-$F44)*(M$1-2035)/5))</f>
        <v>21</v>
      </c>
      <c r="N44" s="0" t="n">
        <f aca="false">IF(N$1&lt;=2030,$D44+($E44-$D44)*(N$1-2025)/5,IF(N$1&lt;=2035,$E44+($F44-$E44)*(N$1-2030)/5,$F44+($G44-$F44)*(N$1-2035)/5))</f>
        <v>21.4</v>
      </c>
      <c r="O44" s="0" t="n">
        <f aca="false">IF(O$1&lt;=2030,$D44+($E44-$D44)*(O$1-2025)/5,IF(O$1&lt;=2035,$E44+($F44-$E44)*(O$1-2030)/5,$F44+($G44-$F44)*(O$1-2035)/5))</f>
        <v>21.8</v>
      </c>
      <c r="P44" s="0" t="n">
        <f aca="false">IF(P$1&lt;=2030,$D44+($E44-$D44)*(P$1-2025)/5,IF(P$1&lt;=2035,$E44+($F44-$E44)*(P$1-2030)/5,$F44+($G44-$F44)*(P$1-2035)/5))</f>
        <v>22.2</v>
      </c>
      <c r="Q44" s="0" t="n">
        <f aca="false">IF(Q$1&lt;=2030,$D44+($E44-$D44)*(Q$1-2025)/5,IF(Q$1&lt;=2035,$E44+($F44-$E44)*(Q$1-2030)/5,$F44+($G44-$F44)*(Q$1-2035)/5))</f>
        <v>22.6</v>
      </c>
      <c r="R44" s="0" t="n">
        <f aca="false">IF(R$1&lt;=2030,$D44+($E44-$D44)*(R$1-2025)/5,IF(R$1&lt;=2035,$E44+($F44-$E44)*(R$1-2030)/5,$F44+($G44-$F44)*(R$1-2035)/5))</f>
        <v>23</v>
      </c>
      <c r="S44" s="0" t="n">
        <f aca="false">IF(S$1&lt;=2030,$D44+($E44-$D44)*(S$1-2025)/5,IF(S$1&lt;=2035,$E44+($F44-$E44)*(S$1-2030)/5,$F44+($G44-$F44)*(S$1-2035)/5))</f>
        <v>23.2</v>
      </c>
      <c r="T44" s="0" t="n">
        <f aca="false">IF(T$1&lt;=2030,$D44+($E44-$D44)*(T$1-2025)/5,IF(T$1&lt;=2035,$E44+($F44-$E44)*(T$1-2030)/5,$F44+($G44-$F44)*(T$1-2035)/5))</f>
        <v>23.4</v>
      </c>
      <c r="U44" s="0" t="n">
        <f aca="false">IF(U$1&lt;=2030,$D44+($E44-$D44)*(U$1-2025)/5,IF(U$1&lt;=2035,$E44+($F44-$E44)*(U$1-2030)/5,$F44+($G44-$F44)*(U$1-2035)/5))</f>
        <v>23.6</v>
      </c>
      <c r="V44" s="0" t="n">
        <f aca="false">IF(V$1&lt;=2030,$D44+($E44-$D44)*(V$1-2025)/5,IF(V$1&lt;=2035,$E44+($F44-$E44)*(V$1-2030)/5,$F44+($G44-$F44)*(V$1-2035)/5))</f>
        <v>23.8</v>
      </c>
      <c r="W44" s="0" t="n">
        <f aca="false">IF(W$1&lt;=2030,$D44+($E44-$D44)*(W$1-2025)/5,IF(W$1&lt;=2035,$E44+($F44-$E44)*(W$1-2030)/5,$F44+($G44-$F44)*(W$1-2035)/5))</f>
        <v>24</v>
      </c>
    </row>
    <row r="45" customFormat="false" ht="15" hidden="false" customHeight="false" outlineLevel="0" collapsed="false">
      <c r="A45" s="0" t="s">
        <v>109</v>
      </c>
      <c r="B45" s="0" t="s">
        <v>92</v>
      </c>
      <c r="C45" s="0" t="n">
        <f aca="false">IFERROR(MATCH(A45&amp;"|"&amp;B45&amp;"|"&amp;Control!$B$3,Assumptions!$A$2:$A$112,0),MATCH(A45&amp;"|"&amp;B45&amp;"|All",Assumptions!$A$2:$A$112,0))</f>
        <v>72</v>
      </c>
      <c r="D45" s="0" t="n">
        <f aca="false">INDEX(Assumptions!$E$2:$E$112,$C45)</f>
        <v>50</v>
      </c>
      <c r="E45" s="0" t="n">
        <f aca="false">INDEX(Assumptions!$F$2:$F$112,$C45)</f>
        <v>52</v>
      </c>
      <c r="F45" s="0" t="n">
        <f aca="false">INDEX(Assumptions!$G$2:$G$112,$C45)</f>
        <v>55</v>
      </c>
      <c r="G45" s="0" t="n">
        <f aca="false">INDEX(Assumptions!$H$2:$H$112,$C45)</f>
        <v>55</v>
      </c>
      <c r="H45" s="0" t="n">
        <f aca="false">IF(H$1&lt;=2030,$D45+($E45-$D45)*(H$1-2025)/5,IF(H$1&lt;=2035,$E45+($F45-$E45)*(H$1-2030)/5,$F45+($G45-$F45)*(H$1-2035)/5))</f>
        <v>50</v>
      </c>
      <c r="I45" s="0" t="n">
        <f aca="false">IF(I$1&lt;=2030,$D45+($E45-$D45)*(I$1-2025)/5,IF(I$1&lt;=2035,$E45+($F45-$E45)*(I$1-2030)/5,$F45+($G45-$F45)*(I$1-2035)/5))</f>
        <v>50.4</v>
      </c>
      <c r="J45" s="0" t="n">
        <f aca="false">IF(J$1&lt;=2030,$D45+($E45-$D45)*(J$1-2025)/5,IF(J$1&lt;=2035,$E45+($F45-$E45)*(J$1-2030)/5,$F45+($G45-$F45)*(J$1-2035)/5))</f>
        <v>50.8</v>
      </c>
      <c r="K45" s="0" t="n">
        <f aca="false">IF(K$1&lt;=2030,$D45+($E45-$D45)*(K$1-2025)/5,IF(K$1&lt;=2035,$E45+($F45-$E45)*(K$1-2030)/5,$F45+($G45-$F45)*(K$1-2035)/5))</f>
        <v>51.2</v>
      </c>
      <c r="L45" s="0" t="n">
        <f aca="false">IF(L$1&lt;=2030,$D45+($E45-$D45)*(L$1-2025)/5,IF(L$1&lt;=2035,$E45+($F45-$E45)*(L$1-2030)/5,$F45+($G45-$F45)*(L$1-2035)/5))</f>
        <v>51.6</v>
      </c>
      <c r="M45" s="0" t="n">
        <f aca="false">IF(M$1&lt;=2030,$D45+($E45-$D45)*(M$1-2025)/5,IF(M$1&lt;=2035,$E45+($F45-$E45)*(M$1-2030)/5,$F45+($G45-$F45)*(M$1-2035)/5))</f>
        <v>52</v>
      </c>
      <c r="N45" s="0" t="n">
        <f aca="false">IF(N$1&lt;=2030,$D45+($E45-$D45)*(N$1-2025)/5,IF(N$1&lt;=2035,$E45+($F45-$E45)*(N$1-2030)/5,$F45+($G45-$F45)*(N$1-2035)/5))</f>
        <v>52.6</v>
      </c>
      <c r="O45" s="0" t="n">
        <f aca="false">IF(O$1&lt;=2030,$D45+($E45-$D45)*(O$1-2025)/5,IF(O$1&lt;=2035,$E45+($F45-$E45)*(O$1-2030)/5,$F45+($G45-$F45)*(O$1-2035)/5))</f>
        <v>53.2</v>
      </c>
      <c r="P45" s="0" t="n">
        <f aca="false">IF(P$1&lt;=2030,$D45+($E45-$D45)*(P$1-2025)/5,IF(P$1&lt;=2035,$E45+($F45-$E45)*(P$1-2030)/5,$F45+($G45-$F45)*(P$1-2035)/5))</f>
        <v>53.8</v>
      </c>
      <c r="Q45" s="0" t="n">
        <f aca="false">IF(Q$1&lt;=2030,$D45+($E45-$D45)*(Q$1-2025)/5,IF(Q$1&lt;=2035,$E45+($F45-$E45)*(Q$1-2030)/5,$F45+($G45-$F45)*(Q$1-2035)/5))</f>
        <v>54.4</v>
      </c>
      <c r="R45" s="0" t="n">
        <f aca="false">IF(R$1&lt;=2030,$D45+($E45-$D45)*(R$1-2025)/5,IF(R$1&lt;=2035,$E45+($F45-$E45)*(R$1-2030)/5,$F45+($G45-$F45)*(R$1-2035)/5))</f>
        <v>55</v>
      </c>
      <c r="S45" s="0" t="n">
        <f aca="false">IF(S$1&lt;=2030,$D45+($E45-$D45)*(S$1-2025)/5,IF(S$1&lt;=2035,$E45+($F45-$E45)*(S$1-2030)/5,$F45+($G45-$F45)*(S$1-2035)/5))</f>
        <v>55</v>
      </c>
      <c r="T45" s="0" t="n">
        <f aca="false">IF(T$1&lt;=2030,$D45+($E45-$D45)*(T$1-2025)/5,IF(T$1&lt;=2035,$E45+($F45-$E45)*(T$1-2030)/5,$F45+($G45-$F45)*(T$1-2035)/5))</f>
        <v>55</v>
      </c>
      <c r="U45" s="0" t="n">
        <f aca="false">IF(U$1&lt;=2030,$D45+($E45-$D45)*(U$1-2025)/5,IF(U$1&lt;=2035,$E45+($F45-$E45)*(U$1-2030)/5,$F45+($G45-$F45)*(U$1-2035)/5))</f>
        <v>55</v>
      </c>
      <c r="V45" s="0" t="n">
        <f aca="false">IF(V$1&lt;=2030,$D45+($E45-$D45)*(V$1-2025)/5,IF(V$1&lt;=2035,$E45+($F45-$E45)*(V$1-2030)/5,$F45+($G45-$F45)*(V$1-2035)/5))</f>
        <v>55</v>
      </c>
      <c r="W45" s="0" t="n">
        <f aca="false">IF(W$1&lt;=2030,$D45+($E45-$D45)*(W$1-2025)/5,IF(W$1&lt;=2035,$E45+($F45-$E45)*(W$1-2030)/5,$F45+($G45-$F45)*(W$1-2035)/5))</f>
        <v>55</v>
      </c>
    </row>
    <row r="46" customFormat="false" ht="15" hidden="false" customHeight="false" outlineLevel="0" collapsed="false">
      <c r="A46" s="0" t="s">
        <v>109</v>
      </c>
      <c r="B46" s="0" t="s">
        <v>97</v>
      </c>
      <c r="C46" s="0" t="n">
        <f aca="false">IFERROR(MATCH(A46&amp;"|"&amp;B46&amp;"|"&amp;Control!$B$3,Assumptions!$A$2:$A$112,0),MATCH(A46&amp;"|"&amp;B46&amp;"|All",Assumptions!$A$2:$A$112,0))</f>
        <v>73</v>
      </c>
      <c r="D46" s="0" t="n">
        <f aca="false">INDEX(Assumptions!$E$2:$E$112,$C46)</f>
        <v>28</v>
      </c>
      <c r="E46" s="0" t="n">
        <f aca="false">INDEX(Assumptions!$F$2:$F$112,$C46)</f>
        <v>30</v>
      </c>
      <c r="F46" s="0" t="n">
        <f aca="false">INDEX(Assumptions!$G$2:$G$112,$C46)</f>
        <v>32</v>
      </c>
      <c r="G46" s="0" t="n">
        <f aca="false">INDEX(Assumptions!$H$2:$H$112,$C46)</f>
        <v>32</v>
      </c>
      <c r="H46" s="0" t="n">
        <f aca="false">IF(H$1&lt;=2030,$D46+($E46-$D46)*(H$1-2025)/5,IF(H$1&lt;=2035,$E46+($F46-$E46)*(H$1-2030)/5,$F46+($G46-$F46)*(H$1-2035)/5))</f>
        <v>28</v>
      </c>
      <c r="I46" s="0" t="n">
        <f aca="false">IF(I$1&lt;=2030,$D46+($E46-$D46)*(I$1-2025)/5,IF(I$1&lt;=2035,$E46+($F46-$E46)*(I$1-2030)/5,$F46+($G46-$F46)*(I$1-2035)/5))</f>
        <v>28.4</v>
      </c>
      <c r="J46" s="0" t="n">
        <f aca="false">IF(J$1&lt;=2030,$D46+($E46-$D46)*(J$1-2025)/5,IF(J$1&lt;=2035,$E46+($F46-$E46)*(J$1-2030)/5,$F46+($G46-$F46)*(J$1-2035)/5))</f>
        <v>28.8</v>
      </c>
      <c r="K46" s="0" t="n">
        <f aca="false">IF(K$1&lt;=2030,$D46+($E46-$D46)*(K$1-2025)/5,IF(K$1&lt;=2035,$E46+($F46-$E46)*(K$1-2030)/5,$F46+($G46-$F46)*(K$1-2035)/5))</f>
        <v>29.2</v>
      </c>
      <c r="L46" s="0" t="n">
        <f aca="false">IF(L$1&lt;=2030,$D46+($E46-$D46)*(L$1-2025)/5,IF(L$1&lt;=2035,$E46+($F46-$E46)*(L$1-2030)/5,$F46+($G46-$F46)*(L$1-2035)/5))</f>
        <v>29.6</v>
      </c>
      <c r="M46" s="0" t="n">
        <f aca="false">IF(M$1&lt;=2030,$D46+($E46-$D46)*(M$1-2025)/5,IF(M$1&lt;=2035,$E46+($F46-$E46)*(M$1-2030)/5,$F46+($G46-$F46)*(M$1-2035)/5))</f>
        <v>30</v>
      </c>
      <c r="N46" s="0" t="n">
        <f aca="false">IF(N$1&lt;=2030,$D46+($E46-$D46)*(N$1-2025)/5,IF(N$1&lt;=2035,$E46+($F46-$E46)*(N$1-2030)/5,$F46+($G46-$F46)*(N$1-2035)/5))</f>
        <v>30.4</v>
      </c>
      <c r="O46" s="0" t="n">
        <f aca="false">IF(O$1&lt;=2030,$D46+($E46-$D46)*(O$1-2025)/5,IF(O$1&lt;=2035,$E46+($F46-$E46)*(O$1-2030)/5,$F46+($G46-$F46)*(O$1-2035)/5))</f>
        <v>30.8</v>
      </c>
      <c r="P46" s="0" t="n">
        <f aca="false">IF(P$1&lt;=2030,$D46+($E46-$D46)*(P$1-2025)/5,IF(P$1&lt;=2035,$E46+($F46-$E46)*(P$1-2030)/5,$F46+($G46-$F46)*(P$1-2035)/5))</f>
        <v>31.2</v>
      </c>
      <c r="Q46" s="0" t="n">
        <f aca="false">IF(Q$1&lt;=2030,$D46+($E46-$D46)*(Q$1-2025)/5,IF(Q$1&lt;=2035,$E46+($F46-$E46)*(Q$1-2030)/5,$F46+($G46-$F46)*(Q$1-2035)/5))</f>
        <v>31.6</v>
      </c>
      <c r="R46" s="0" t="n">
        <f aca="false">IF(R$1&lt;=2030,$D46+($E46-$D46)*(R$1-2025)/5,IF(R$1&lt;=2035,$E46+($F46-$E46)*(R$1-2030)/5,$F46+($G46-$F46)*(R$1-2035)/5))</f>
        <v>32</v>
      </c>
      <c r="S46" s="0" t="n">
        <f aca="false">IF(S$1&lt;=2030,$D46+($E46-$D46)*(S$1-2025)/5,IF(S$1&lt;=2035,$E46+($F46-$E46)*(S$1-2030)/5,$F46+($G46-$F46)*(S$1-2035)/5))</f>
        <v>32</v>
      </c>
      <c r="T46" s="0" t="n">
        <f aca="false">IF(T$1&lt;=2030,$D46+($E46-$D46)*(T$1-2025)/5,IF(T$1&lt;=2035,$E46+($F46-$E46)*(T$1-2030)/5,$F46+($G46-$F46)*(T$1-2035)/5))</f>
        <v>32</v>
      </c>
      <c r="U46" s="0" t="n">
        <f aca="false">IF(U$1&lt;=2030,$D46+($E46-$D46)*(U$1-2025)/5,IF(U$1&lt;=2035,$E46+($F46-$E46)*(U$1-2030)/5,$F46+($G46-$F46)*(U$1-2035)/5))</f>
        <v>32</v>
      </c>
      <c r="V46" s="0" t="n">
        <f aca="false">IF(V$1&lt;=2030,$D46+($E46-$D46)*(V$1-2025)/5,IF(V$1&lt;=2035,$E46+($F46-$E46)*(V$1-2030)/5,$F46+($G46-$F46)*(V$1-2035)/5))</f>
        <v>32</v>
      </c>
      <c r="W46" s="0" t="n">
        <f aca="false">IF(W$1&lt;=2030,$D46+($E46-$D46)*(W$1-2025)/5,IF(W$1&lt;=2035,$E46+($F46-$E46)*(W$1-2030)/5,$F46+($G46-$F46)*(W$1-2035)/5))</f>
        <v>32</v>
      </c>
    </row>
    <row r="47" customFormat="false" ht="15" hidden="false" customHeight="false" outlineLevel="0" collapsed="false">
      <c r="A47" s="0" t="s">
        <v>109</v>
      </c>
      <c r="B47" s="0" t="s">
        <v>100</v>
      </c>
      <c r="C47" s="0" t="n">
        <f aca="false">IFERROR(MATCH(A47&amp;"|"&amp;B47&amp;"|"&amp;Control!$B$3,Assumptions!$A$2:$A$112,0),MATCH(A47&amp;"|"&amp;B47&amp;"|All",Assumptions!$A$2:$A$112,0))</f>
        <v>74</v>
      </c>
      <c r="D47" s="0" t="n">
        <f aca="false">INDEX(Assumptions!$E$2:$E$112,$C47)</f>
        <v>0.75</v>
      </c>
      <c r="E47" s="0" t="n">
        <f aca="false">INDEX(Assumptions!$F$2:$F$112,$C47)</f>
        <v>0.8</v>
      </c>
      <c r="F47" s="0" t="n">
        <f aca="false">INDEX(Assumptions!$G$2:$G$112,$C47)</f>
        <v>0.9</v>
      </c>
      <c r="G47" s="0" t="n">
        <f aca="false">INDEX(Assumptions!$H$2:$H$112,$C47)</f>
        <v>0.9</v>
      </c>
      <c r="H47" s="0" t="n">
        <f aca="false">IF(H$1&lt;=2030,$D47+($E47-$D47)*(H$1-2025)/5,IF(H$1&lt;=2035,$E47+($F47-$E47)*(H$1-2030)/5,$F47+($G47-$F47)*(H$1-2035)/5))</f>
        <v>0.75</v>
      </c>
      <c r="I47" s="0" t="n">
        <f aca="false">IF(I$1&lt;=2030,$D47+($E47-$D47)*(I$1-2025)/5,IF(I$1&lt;=2035,$E47+($F47-$E47)*(I$1-2030)/5,$F47+($G47-$F47)*(I$1-2035)/5))</f>
        <v>0.76</v>
      </c>
      <c r="J47" s="0" t="n">
        <f aca="false">IF(J$1&lt;=2030,$D47+($E47-$D47)*(J$1-2025)/5,IF(J$1&lt;=2035,$E47+($F47-$E47)*(J$1-2030)/5,$F47+($G47-$F47)*(J$1-2035)/5))</f>
        <v>0.77</v>
      </c>
      <c r="K47" s="0" t="n">
        <f aca="false">IF(K$1&lt;=2030,$D47+($E47-$D47)*(K$1-2025)/5,IF(K$1&lt;=2035,$E47+($F47-$E47)*(K$1-2030)/5,$F47+($G47-$F47)*(K$1-2035)/5))</f>
        <v>0.78</v>
      </c>
      <c r="L47" s="0" t="n">
        <f aca="false">IF(L$1&lt;=2030,$D47+($E47-$D47)*(L$1-2025)/5,IF(L$1&lt;=2035,$E47+($F47-$E47)*(L$1-2030)/5,$F47+($G47-$F47)*(L$1-2035)/5))</f>
        <v>0.79</v>
      </c>
      <c r="M47" s="0" t="n">
        <f aca="false">IF(M$1&lt;=2030,$D47+($E47-$D47)*(M$1-2025)/5,IF(M$1&lt;=2035,$E47+($F47-$E47)*(M$1-2030)/5,$F47+($G47-$F47)*(M$1-2035)/5))</f>
        <v>0.8</v>
      </c>
      <c r="N47" s="0" t="n">
        <f aca="false">IF(N$1&lt;=2030,$D47+($E47-$D47)*(N$1-2025)/5,IF(N$1&lt;=2035,$E47+($F47-$E47)*(N$1-2030)/5,$F47+($G47-$F47)*(N$1-2035)/5))</f>
        <v>0.82</v>
      </c>
      <c r="O47" s="0" t="n">
        <f aca="false">IF(O$1&lt;=2030,$D47+($E47-$D47)*(O$1-2025)/5,IF(O$1&lt;=2035,$E47+($F47-$E47)*(O$1-2030)/5,$F47+($G47-$F47)*(O$1-2035)/5))</f>
        <v>0.84</v>
      </c>
      <c r="P47" s="0" t="n">
        <f aca="false">IF(P$1&lt;=2030,$D47+($E47-$D47)*(P$1-2025)/5,IF(P$1&lt;=2035,$E47+($F47-$E47)*(P$1-2030)/5,$F47+($G47-$F47)*(P$1-2035)/5))</f>
        <v>0.86</v>
      </c>
      <c r="Q47" s="0" t="n">
        <f aca="false">IF(Q$1&lt;=2030,$D47+($E47-$D47)*(Q$1-2025)/5,IF(Q$1&lt;=2035,$E47+($F47-$E47)*(Q$1-2030)/5,$F47+($G47-$F47)*(Q$1-2035)/5))</f>
        <v>0.88</v>
      </c>
      <c r="R47" s="0" t="n">
        <f aca="false">IF(R$1&lt;=2030,$D47+($E47-$D47)*(R$1-2025)/5,IF(R$1&lt;=2035,$E47+($F47-$E47)*(R$1-2030)/5,$F47+($G47-$F47)*(R$1-2035)/5))</f>
        <v>0.9</v>
      </c>
      <c r="S47" s="0" t="n">
        <f aca="false">IF(S$1&lt;=2030,$D47+($E47-$D47)*(S$1-2025)/5,IF(S$1&lt;=2035,$E47+($F47-$E47)*(S$1-2030)/5,$F47+($G47-$F47)*(S$1-2035)/5))</f>
        <v>0.9</v>
      </c>
      <c r="T47" s="0" t="n">
        <f aca="false">IF(T$1&lt;=2030,$D47+($E47-$D47)*(T$1-2025)/5,IF(T$1&lt;=2035,$E47+($F47-$E47)*(T$1-2030)/5,$F47+($G47-$F47)*(T$1-2035)/5))</f>
        <v>0.9</v>
      </c>
      <c r="U47" s="0" t="n">
        <f aca="false">IF(U$1&lt;=2030,$D47+($E47-$D47)*(U$1-2025)/5,IF(U$1&lt;=2035,$E47+($F47-$E47)*(U$1-2030)/5,$F47+($G47-$F47)*(U$1-2035)/5))</f>
        <v>0.9</v>
      </c>
      <c r="V47" s="0" t="n">
        <f aca="false">IF(V$1&lt;=2030,$D47+($E47-$D47)*(V$1-2025)/5,IF(V$1&lt;=2035,$E47+($F47-$E47)*(V$1-2030)/5,$F47+($G47-$F47)*(V$1-2035)/5))</f>
        <v>0.9</v>
      </c>
      <c r="W47" s="0" t="n">
        <f aca="false">IF(W$1&lt;=2030,$D47+($E47-$D47)*(W$1-2025)/5,IF(W$1&lt;=2035,$E47+($F47-$E47)*(W$1-2030)/5,$F47+($G47-$F47)*(W$1-2035)/5))</f>
        <v>0.9</v>
      </c>
    </row>
    <row r="48" customFormat="false" ht="15" hidden="false" customHeight="false" outlineLevel="0" collapsed="false">
      <c r="A48" s="0" t="s">
        <v>109</v>
      </c>
      <c r="B48" s="0" t="s">
        <v>103</v>
      </c>
      <c r="C48" s="0" t="n">
        <f aca="false">IFERROR(MATCH(A48&amp;"|"&amp;B48&amp;"|"&amp;Control!$B$3,Assumptions!$A$2:$A$112,0),MATCH(A48&amp;"|"&amp;B48&amp;"|All",Assumptions!$A$2:$A$112,0))</f>
        <v>75</v>
      </c>
      <c r="D48" s="0" t="n">
        <f aca="false">INDEX(Assumptions!$E$2:$E$112,$C48)</f>
        <v>37</v>
      </c>
      <c r="E48" s="0" t="n">
        <f aca="false">INDEX(Assumptions!$F$2:$F$112,$C48)</f>
        <v>40</v>
      </c>
      <c r="F48" s="0" t="n">
        <f aca="false">INDEX(Assumptions!$G$2:$G$112,$C48)</f>
        <v>40</v>
      </c>
      <c r="G48" s="0" t="n">
        <f aca="false">INDEX(Assumptions!$H$2:$H$112,$C48)</f>
        <v>40</v>
      </c>
      <c r="H48" s="0" t="n">
        <f aca="false">IF(H$1&lt;=2030,$D48+($E48-$D48)*(H$1-2025)/5,IF(H$1&lt;=2035,$E48+($F48-$E48)*(H$1-2030)/5,$F48+($G48-$F48)*(H$1-2035)/5))</f>
        <v>37</v>
      </c>
      <c r="I48" s="0" t="n">
        <f aca="false">IF(I$1&lt;=2030,$D48+($E48-$D48)*(I$1-2025)/5,IF(I$1&lt;=2035,$E48+($F48-$E48)*(I$1-2030)/5,$F48+($G48-$F48)*(I$1-2035)/5))</f>
        <v>37.6</v>
      </c>
      <c r="J48" s="0" t="n">
        <f aca="false">IF(J$1&lt;=2030,$D48+($E48-$D48)*(J$1-2025)/5,IF(J$1&lt;=2035,$E48+($F48-$E48)*(J$1-2030)/5,$F48+($G48-$F48)*(J$1-2035)/5))</f>
        <v>38.2</v>
      </c>
      <c r="K48" s="0" t="n">
        <f aca="false">IF(K$1&lt;=2030,$D48+($E48-$D48)*(K$1-2025)/5,IF(K$1&lt;=2035,$E48+($F48-$E48)*(K$1-2030)/5,$F48+($G48-$F48)*(K$1-2035)/5))</f>
        <v>38.8</v>
      </c>
      <c r="L48" s="0" t="n">
        <f aca="false">IF(L$1&lt;=2030,$D48+($E48-$D48)*(L$1-2025)/5,IF(L$1&lt;=2035,$E48+($F48-$E48)*(L$1-2030)/5,$F48+($G48-$F48)*(L$1-2035)/5))</f>
        <v>39.4</v>
      </c>
      <c r="M48" s="0" t="n">
        <f aca="false">IF(M$1&lt;=2030,$D48+($E48-$D48)*(M$1-2025)/5,IF(M$1&lt;=2035,$E48+($F48-$E48)*(M$1-2030)/5,$F48+($G48-$F48)*(M$1-2035)/5))</f>
        <v>40</v>
      </c>
      <c r="N48" s="0" t="n">
        <f aca="false">IF(N$1&lt;=2030,$D48+($E48-$D48)*(N$1-2025)/5,IF(N$1&lt;=2035,$E48+($F48-$E48)*(N$1-2030)/5,$F48+($G48-$F48)*(N$1-2035)/5))</f>
        <v>40</v>
      </c>
      <c r="O48" s="0" t="n">
        <f aca="false">IF(O$1&lt;=2030,$D48+($E48-$D48)*(O$1-2025)/5,IF(O$1&lt;=2035,$E48+($F48-$E48)*(O$1-2030)/5,$F48+($G48-$F48)*(O$1-2035)/5))</f>
        <v>40</v>
      </c>
      <c r="P48" s="0" t="n">
        <f aca="false">IF(P$1&lt;=2030,$D48+($E48-$D48)*(P$1-2025)/5,IF(P$1&lt;=2035,$E48+($F48-$E48)*(P$1-2030)/5,$F48+($G48-$F48)*(P$1-2035)/5))</f>
        <v>40</v>
      </c>
      <c r="Q48" s="0" t="n">
        <f aca="false">IF(Q$1&lt;=2030,$D48+($E48-$D48)*(Q$1-2025)/5,IF(Q$1&lt;=2035,$E48+($F48-$E48)*(Q$1-2030)/5,$F48+($G48-$F48)*(Q$1-2035)/5))</f>
        <v>40</v>
      </c>
      <c r="R48" s="0" t="n">
        <f aca="false">IF(R$1&lt;=2030,$D48+($E48-$D48)*(R$1-2025)/5,IF(R$1&lt;=2035,$E48+($F48-$E48)*(R$1-2030)/5,$F48+($G48-$F48)*(R$1-2035)/5))</f>
        <v>40</v>
      </c>
      <c r="S48" s="0" t="n">
        <f aca="false">IF(S$1&lt;=2030,$D48+($E48-$D48)*(S$1-2025)/5,IF(S$1&lt;=2035,$E48+($F48-$E48)*(S$1-2030)/5,$F48+($G48-$F48)*(S$1-2035)/5))</f>
        <v>40</v>
      </c>
      <c r="T48" s="0" t="n">
        <f aca="false">IF(T$1&lt;=2030,$D48+($E48-$D48)*(T$1-2025)/5,IF(T$1&lt;=2035,$E48+($F48-$E48)*(T$1-2030)/5,$F48+($G48-$F48)*(T$1-2035)/5))</f>
        <v>40</v>
      </c>
      <c r="U48" s="0" t="n">
        <f aca="false">IF(U$1&lt;=2030,$D48+($E48-$D48)*(U$1-2025)/5,IF(U$1&lt;=2035,$E48+($F48-$E48)*(U$1-2030)/5,$F48+($G48-$F48)*(U$1-2035)/5))</f>
        <v>40</v>
      </c>
      <c r="V48" s="0" t="n">
        <f aca="false">IF(V$1&lt;=2030,$D48+($E48-$D48)*(V$1-2025)/5,IF(V$1&lt;=2035,$E48+($F48-$E48)*(V$1-2030)/5,$F48+($G48-$F48)*(V$1-2035)/5))</f>
        <v>40</v>
      </c>
      <c r="W48" s="0" t="n">
        <f aca="false">IF(W$1&lt;=2030,$D48+($E48-$D48)*(W$1-2025)/5,IF(W$1&lt;=2035,$E48+($F48-$E48)*(W$1-2030)/5,$F48+($G48-$F48)*(W$1-2035)/5))</f>
        <v>40</v>
      </c>
    </row>
    <row r="49" customFormat="false" ht="15" hidden="false" customHeight="false" outlineLevel="0" collapsed="false">
      <c r="A49" s="0" t="s">
        <v>109</v>
      </c>
      <c r="B49" s="0" t="s">
        <v>104</v>
      </c>
      <c r="C49" s="0" t="n">
        <f aca="false">IFERROR(MATCH(A49&amp;"|"&amp;B49&amp;"|"&amp;Control!$B$3,Assumptions!$A$2:$A$112,0),MATCH(A49&amp;"|"&amp;B49&amp;"|All",Assumptions!$A$2:$A$112,0))</f>
        <v>76</v>
      </c>
      <c r="D49" s="0" t="n">
        <f aca="false">INDEX(Assumptions!$E$2:$E$112,$C49)</f>
        <v>19.4</v>
      </c>
      <c r="E49" s="0" t="n">
        <f aca="false">INDEX(Assumptions!$F$2:$F$112,$C49)</f>
        <v>21</v>
      </c>
      <c r="F49" s="0" t="n">
        <f aca="false">INDEX(Assumptions!$G$2:$G$112,$C49)</f>
        <v>23</v>
      </c>
      <c r="G49" s="0" t="n">
        <f aca="false">INDEX(Assumptions!$H$2:$H$112,$C49)</f>
        <v>24</v>
      </c>
      <c r="H49" s="0" t="n">
        <f aca="false">IF(H$1&lt;=2030,$D49+($E49-$D49)*(H$1-2025)/5,IF(H$1&lt;=2035,$E49+($F49-$E49)*(H$1-2030)/5,$F49+($G49-$F49)*(H$1-2035)/5))</f>
        <v>19.4</v>
      </c>
      <c r="I49" s="0" t="n">
        <f aca="false">IF(I$1&lt;=2030,$D49+($E49-$D49)*(I$1-2025)/5,IF(I$1&lt;=2035,$E49+($F49-$E49)*(I$1-2030)/5,$F49+($G49-$F49)*(I$1-2035)/5))</f>
        <v>19.72</v>
      </c>
      <c r="J49" s="0" t="n">
        <f aca="false">IF(J$1&lt;=2030,$D49+($E49-$D49)*(J$1-2025)/5,IF(J$1&lt;=2035,$E49+($F49-$E49)*(J$1-2030)/5,$F49+($G49-$F49)*(J$1-2035)/5))</f>
        <v>20.04</v>
      </c>
      <c r="K49" s="0" t="n">
        <f aca="false">IF(K$1&lt;=2030,$D49+($E49-$D49)*(K$1-2025)/5,IF(K$1&lt;=2035,$E49+($F49-$E49)*(K$1-2030)/5,$F49+($G49-$F49)*(K$1-2035)/5))</f>
        <v>20.36</v>
      </c>
      <c r="L49" s="0" t="n">
        <f aca="false">IF(L$1&lt;=2030,$D49+($E49-$D49)*(L$1-2025)/5,IF(L$1&lt;=2035,$E49+($F49-$E49)*(L$1-2030)/5,$F49+($G49-$F49)*(L$1-2035)/5))</f>
        <v>20.68</v>
      </c>
      <c r="M49" s="0" t="n">
        <f aca="false">IF(M$1&lt;=2030,$D49+($E49-$D49)*(M$1-2025)/5,IF(M$1&lt;=2035,$E49+($F49-$E49)*(M$1-2030)/5,$F49+($G49-$F49)*(M$1-2035)/5))</f>
        <v>21</v>
      </c>
      <c r="N49" s="0" t="n">
        <f aca="false">IF(N$1&lt;=2030,$D49+($E49-$D49)*(N$1-2025)/5,IF(N$1&lt;=2035,$E49+($F49-$E49)*(N$1-2030)/5,$F49+($G49-$F49)*(N$1-2035)/5))</f>
        <v>21.4</v>
      </c>
      <c r="O49" s="0" t="n">
        <f aca="false">IF(O$1&lt;=2030,$D49+($E49-$D49)*(O$1-2025)/5,IF(O$1&lt;=2035,$E49+($F49-$E49)*(O$1-2030)/5,$F49+($G49-$F49)*(O$1-2035)/5))</f>
        <v>21.8</v>
      </c>
      <c r="P49" s="0" t="n">
        <f aca="false">IF(P$1&lt;=2030,$D49+($E49-$D49)*(P$1-2025)/5,IF(P$1&lt;=2035,$E49+($F49-$E49)*(P$1-2030)/5,$F49+($G49-$F49)*(P$1-2035)/5))</f>
        <v>22.2</v>
      </c>
      <c r="Q49" s="0" t="n">
        <f aca="false">IF(Q$1&lt;=2030,$D49+($E49-$D49)*(Q$1-2025)/5,IF(Q$1&lt;=2035,$E49+($F49-$E49)*(Q$1-2030)/5,$F49+($G49-$F49)*(Q$1-2035)/5))</f>
        <v>22.6</v>
      </c>
      <c r="R49" s="0" t="n">
        <f aca="false">IF(R$1&lt;=2030,$D49+($E49-$D49)*(R$1-2025)/5,IF(R$1&lt;=2035,$E49+($F49-$E49)*(R$1-2030)/5,$F49+($G49-$F49)*(R$1-2035)/5))</f>
        <v>23</v>
      </c>
      <c r="S49" s="0" t="n">
        <f aca="false">IF(S$1&lt;=2030,$D49+($E49-$D49)*(S$1-2025)/5,IF(S$1&lt;=2035,$E49+($F49-$E49)*(S$1-2030)/5,$F49+($G49-$F49)*(S$1-2035)/5))</f>
        <v>23.2</v>
      </c>
      <c r="T49" s="0" t="n">
        <f aca="false">IF(T$1&lt;=2030,$D49+($E49-$D49)*(T$1-2025)/5,IF(T$1&lt;=2035,$E49+($F49-$E49)*(T$1-2030)/5,$F49+($G49-$F49)*(T$1-2035)/5))</f>
        <v>23.4</v>
      </c>
      <c r="U49" s="0" t="n">
        <f aca="false">IF(U$1&lt;=2030,$D49+($E49-$D49)*(U$1-2025)/5,IF(U$1&lt;=2035,$E49+($F49-$E49)*(U$1-2030)/5,$F49+($G49-$F49)*(U$1-2035)/5))</f>
        <v>23.6</v>
      </c>
      <c r="V49" s="0" t="n">
        <f aca="false">IF(V$1&lt;=2030,$D49+($E49-$D49)*(V$1-2025)/5,IF(V$1&lt;=2035,$E49+($F49-$E49)*(V$1-2030)/5,$F49+($G49-$F49)*(V$1-2035)/5))</f>
        <v>23.8</v>
      </c>
      <c r="W49" s="0" t="n">
        <f aca="false">IF(W$1&lt;=2030,$D49+($E49-$D49)*(W$1-2025)/5,IF(W$1&lt;=2035,$E49+($F49-$E49)*(W$1-2030)/5,$F49+($G49-$F49)*(W$1-2035)/5))</f>
        <v>24</v>
      </c>
    </row>
    <row r="50" customFormat="false" ht="15" hidden="false" customHeight="false" outlineLevel="0" collapsed="false">
      <c r="A50" s="0" t="s">
        <v>112</v>
      </c>
      <c r="B50" s="0" t="s">
        <v>113</v>
      </c>
      <c r="C50" s="0" t="n">
        <f aca="false">IFERROR(MATCH(A50&amp;"|"&amp;B50&amp;"|"&amp;Control!$B$3,Assumptions!$A$2:$A$112,0),MATCH(A50&amp;"|"&amp;B50&amp;"|All",Assumptions!$A$2:$A$112,0))</f>
        <v>78</v>
      </c>
      <c r="D50" s="0" t="n">
        <f aca="false">INDEX(Assumptions!$E$2:$E$112,$C50)</f>
        <v>150</v>
      </c>
      <c r="E50" s="0" t="n">
        <f aca="false">INDEX(Assumptions!$F$2:$F$112,$C50)</f>
        <v>220.39921152</v>
      </c>
      <c r="F50" s="0" t="n">
        <f aca="false">INDEX(Assumptions!$G$2:$G$112,$C50)</f>
        <v>323.838749590918</v>
      </c>
      <c r="G50" s="0" t="n">
        <f aca="false">INDEX(Assumptions!$H$2:$H$112,$C50)</f>
        <v>475.825367129741</v>
      </c>
      <c r="H50" s="0" t="n">
        <f aca="false">IF(H$1&lt;=2030,$D50+($E50-$D50)*(H$1-2025)/5,IF(H$1&lt;=2035,$E50+($F50-$E50)*(H$1-2030)/5,$F50+($G50-$F50)*(H$1-2035)/5))</f>
        <v>150</v>
      </c>
      <c r="I50" s="0" t="n">
        <f aca="false">IF(I$1&lt;=2030,$D50+($E50-$D50)*(I$1-2025)/5,IF(I$1&lt;=2035,$E50+($F50-$E50)*(I$1-2030)/5,$F50+($G50-$F50)*(I$1-2035)/5))</f>
        <v>164.079842304</v>
      </c>
      <c r="J50" s="0" t="n">
        <f aca="false">IF(J$1&lt;=2030,$D50+($E50-$D50)*(J$1-2025)/5,IF(J$1&lt;=2035,$E50+($F50-$E50)*(J$1-2030)/5,$F50+($G50-$F50)*(J$1-2035)/5))</f>
        <v>178.159684608</v>
      </c>
      <c r="K50" s="0" t="n">
        <f aca="false">IF(K$1&lt;=2030,$D50+($E50-$D50)*(K$1-2025)/5,IF(K$1&lt;=2035,$E50+($F50-$E50)*(K$1-2030)/5,$F50+($G50-$F50)*(K$1-2035)/5))</f>
        <v>192.239526912</v>
      </c>
      <c r="L50" s="0" t="n">
        <f aca="false">IF(L$1&lt;=2030,$D50+($E50-$D50)*(L$1-2025)/5,IF(L$1&lt;=2035,$E50+($F50-$E50)*(L$1-2030)/5,$F50+($G50-$F50)*(L$1-2035)/5))</f>
        <v>206.319369216</v>
      </c>
      <c r="M50" s="0" t="n">
        <f aca="false">IF(M$1&lt;=2030,$D50+($E50-$D50)*(M$1-2025)/5,IF(M$1&lt;=2035,$E50+($F50-$E50)*(M$1-2030)/5,$F50+($G50-$F50)*(M$1-2035)/5))</f>
        <v>220.39921152</v>
      </c>
      <c r="N50" s="0" t="n">
        <f aca="false">IF(N$1&lt;=2030,$D50+($E50-$D50)*(N$1-2025)/5,IF(N$1&lt;=2035,$E50+($F50-$E50)*(N$1-2030)/5,$F50+($G50-$F50)*(N$1-2035)/5))</f>
        <v>241.087119134184</v>
      </c>
      <c r="O50" s="0" t="n">
        <f aca="false">IF(O$1&lt;=2030,$D50+($E50-$D50)*(O$1-2025)/5,IF(O$1&lt;=2035,$E50+($F50-$E50)*(O$1-2030)/5,$F50+($G50-$F50)*(O$1-2035)/5))</f>
        <v>261.775026748367</v>
      </c>
      <c r="P50" s="0" t="n">
        <f aca="false">IF(P$1&lt;=2030,$D50+($E50-$D50)*(P$1-2025)/5,IF(P$1&lt;=2035,$E50+($F50-$E50)*(P$1-2030)/5,$F50+($G50-$F50)*(P$1-2035)/5))</f>
        <v>282.462934362551</v>
      </c>
      <c r="Q50" s="0" t="n">
        <f aca="false">IF(Q$1&lt;=2030,$D50+($E50-$D50)*(Q$1-2025)/5,IF(Q$1&lt;=2035,$E50+($F50-$E50)*(Q$1-2030)/5,$F50+($G50-$F50)*(Q$1-2035)/5))</f>
        <v>303.150841976735</v>
      </c>
      <c r="R50" s="0" t="n">
        <f aca="false">IF(R$1&lt;=2030,$D50+($E50-$D50)*(R$1-2025)/5,IF(R$1&lt;=2035,$E50+($F50-$E50)*(R$1-2030)/5,$F50+($G50-$F50)*(R$1-2035)/5))</f>
        <v>323.838749590918</v>
      </c>
      <c r="S50" s="0" t="n">
        <f aca="false">IF(S$1&lt;=2030,$D50+($E50-$D50)*(S$1-2025)/5,IF(S$1&lt;=2035,$E50+($F50-$E50)*(S$1-2030)/5,$F50+($G50-$F50)*(S$1-2035)/5))</f>
        <v>354.236073098683</v>
      </c>
      <c r="T50" s="0" t="n">
        <f aca="false">IF(T$1&lt;=2030,$D50+($E50-$D50)*(T$1-2025)/5,IF(T$1&lt;=2035,$E50+($F50-$E50)*(T$1-2030)/5,$F50+($G50-$F50)*(T$1-2035)/5))</f>
        <v>384.633396606447</v>
      </c>
      <c r="U50" s="0" t="n">
        <f aca="false">IF(U$1&lt;=2030,$D50+($E50-$D50)*(U$1-2025)/5,IF(U$1&lt;=2035,$E50+($F50-$E50)*(U$1-2030)/5,$F50+($G50-$F50)*(U$1-2035)/5))</f>
        <v>415.030720114212</v>
      </c>
      <c r="V50" s="0" t="n">
        <f aca="false">IF(V$1&lt;=2030,$D50+($E50-$D50)*(V$1-2025)/5,IF(V$1&lt;=2035,$E50+($F50-$E50)*(V$1-2030)/5,$F50+($G50-$F50)*(V$1-2035)/5))</f>
        <v>445.428043621976</v>
      </c>
      <c r="W50" s="0" t="n">
        <f aca="false">IF(W$1&lt;=2030,$D50+($E50-$D50)*(W$1-2025)/5,IF(W$1&lt;=2035,$E50+($F50-$E50)*(W$1-2030)/5,$F50+($G50-$F50)*(W$1-2035)/5))</f>
        <v>475.825367129741</v>
      </c>
    </row>
    <row r="51" customFormat="false" ht="15" hidden="false" customHeight="false" outlineLevel="0" collapsed="false">
      <c r="A51" s="0" t="s">
        <v>112</v>
      </c>
      <c r="B51" s="0" t="s">
        <v>118</v>
      </c>
      <c r="C51" s="0" t="n">
        <f aca="false">IFERROR(MATCH(A51&amp;"|"&amp;B51&amp;"|"&amp;Control!$B$3,Assumptions!$A$2:$A$112,0),MATCH(A51&amp;"|"&amp;B51&amp;"|All",Assumptions!$A$2:$A$112,0))</f>
        <v>81</v>
      </c>
      <c r="D51" s="0" t="n">
        <f aca="false">INDEX(Assumptions!$E$2:$E$112,$C51)</f>
        <v>1080.5</v>
      </c>
      <c r="E51" s="0" t="n">
        <f aca="false">INDEX(Assumptions!$F$2:$F$112,$C51)</f>
        <v>1379.02222828125</v>
      </c>
      <c r="F51" s="0" t="n">
        <f aca="false">INDEX(Assumptions!$G$2:$G$112,$C51)</f>
        <v>1760.02064423303</v>
      </c>
      <c r="G51" s="0" t="n">
        <f aca="false">INDEX(Assumptions!$H$2:$H$112,$C51)</f>
        <v>2246.28189785398</v>
      </c>
      <c r="H51" s="0" t="n">
        <f aca="false">IF(H$1&lt;=2030,$D51+($E51-$D51)*(H$1-2025)/5,IF(H$1&lt;=2035,$E51+($F51-$E51)*(H$1-2030)/5,$F51+($G51-$F51)*(H$1-2035)/5))</f>
        <v>1080.5</v>
      </c>
      <c r="I51" s="0" t="n">
        <f aca="false">IF(I$1&lt;=2030,$D51+($E51-$D51)*(I$1-2025)/5,IF(I$1&lt;=2035,$E51+($F51-$E51)*(I$1-2030)/5,$F51+($G51-$F51)*(I$1-2035)/5))</f>
        <v>1140.20444565625</v>
      </c>
      <c r="J51" s="0" t="n">
        <f aca="false">IF(J$1&lt;=2030,$D51+($E51-$D51)*(J$1-2025)/5,IF(J$1&lt;=2035,$E51+($F51-$E51)*(J$1-2030)/5,$F51+($G51-$F51)*(J$1-2035)/5))</f>
        <v>1199.9088913125</v>
      </c>
      <c r="K51" s="0" t="n">
        <f aca="false">IF(K$1&lt;=2030,$D51+($E51-$D51)*(K$1-2025)/5,IF(K$1&lt;=2035,$E51+($F51-$E51)*(K$1-2030)/5,$F51+($G51-$F51)*(K$1-2035)/5))</f>
        <v>1259.61333696875</v>
      </c>
      <c r="L51" s="0" t="n">
        <f aca="false">IF(L$1&lt;=2030,$D51+($E51-$D51)*(L$1-2025)/5,IF(L$1&lt;=2035,$E51+($F51-$E51)*(L$1-2030)/5,$F51+($G51-$F51)*(L$1-2035)/5))</f>
        <v>1319.317782625</v>
      </c>
      <c r="M51" s="0" t="n">
        <f aca="false">IF(M$1&lt;=2030,$D51+($E51-$D51)*(M$1-2025)/5,IF(M$1&lt;=2035,$E51+($F51-$E51)*(M$1-2030)/5,$F51+($G51-$F51)*(M$1-2035)/5))</f>
        <v>1379.02222828125</v>
      </c>
      <c r="N51" s="0" t="n">
        <f aca="false">IF(N$1&lt;=2030,$D51+($E51-$D51)*(N$1-2025)/5,IF(N$1&lt;=2035,$E51+($F51-$E51)*(N$1-2030)/5,$F51+($G51-$F51)*(N$1-2035)/5))</f>
        <v>1455.22191147161</v>
      </c>
      <c r="O51" s="0" t="n">
        <f aca="false">IF(O$1&lt;=2030,$D51+($E51-$D51)*(O$1-2025)/5,IF(O$1&lt;=2035,$E51+($F51-$E51)*(O$1-2030)/5,$F51+($G51-$F51)*(O$1-2035)/5))</f>
        <v>1531.42159466196</v>
      </c>
      <c r="P51" s="0" t="n">
        <f aca="false">IF(P$1&lt;=2030,$D51+($E51-$D51)*(P$1-2025)/5,IF(P$1&lt;=2035,$E51+($F51-$E51)*(P$1-2030)/5,$F51+($G51-$F51)*(P$1-2035)/5))</f>
        <v>1607.62127785232</v>
      </c>
      <c r="Q51" s="0" t="n">
        <f aca="false">IF(Q$1&lt;=2030,$D51+($E51-$D51)*(Q$1-2025)/5,IF(Q$1&lt;=2035,$E51+($F51-$E51)*(Q$1-2030)/5,$F51+($G51-$F51)*(Q$1-2035)/5))</f>
        <v>1683.82096104267</v>
      </c>
      <c r="R51" s="0" t="n">
        <f aca="false">IF(R$1&lt;=2030,$D51+($E51-$D51)*(R$1-2025)/5,IF(R$1&lt;=2035,$E51+($F51-$E51)*(R$1-2030)/5,$F51+($G51-$F51)*(R$1-2035)/5))</f>
        <v>1760.02064423303</v>
      </c>
      <c r="S51" s="0" t="n">
        <f aca="false">IF(S$1&lt;=2030,$D51+($E51-$D51)*(S$1-2025)/5,IF(S$1&lt;=2035,$E51+($F51-$E51)*(S$1-2030)/5,$F51+($G51-$F51)*(S$1-2035)/5))</f>
        <v>1857.27289495722</v>
      </c>
      <c r="T51" s="0" t="n">
        <f aca="false">IF(T$1&lt;=2030,$D51+($E51-$D51)*(T$1-2025)/5,IF(T$1&lt;=2035,$E51+($F51-$E51)*(T$1-2030)/5,$F51+($G51-$F51)*(T$1-2035)/5))</f>
        <v>1954.52514568141</v>
      </c>
      <c r="U51" s="0" t="n">
        <f aca="false">IF(U$1&lt;=2030,$D51+($E51-$D51)*(U$1-2025)/5,IF(U$1&lt;=2035,$E51+($F51-$E51)*(U$1-2030)/5,$F51+($G51-$F51)*(U$1-2035)/5))</f>
        <v>2051.7773964056</v>
      </c>
      <c r="V51" s="0" t="n">
        <f aca="false">IF(V$1&lt;=2030,$D51+($E51-$D51)*(V$1-2025)/5,IF(V$1&lt;=2035,$E51+($F51-$E51)*(V$1-2030)/5,$F51+($G51-$F51)*(V$1-2035)/5))</f>
        <v>2149.02964712979</v>
      </c>
      <c r="W51" s="0" t="n">
        <f aca="false">IF(W$1&lt;=2030,$D51+($E51-$D51)*(W$1-2025)/5,IF(W$1&lt;=2035,$E51+($F51-$E51)*(W$1-2030)/5,$F51+($G51-$F51)*(W$1-2035)/5))</f>
        <v>2246.28189785398</v>
      </c>
    </row>
    <row r="52" customFormat="false" ht="15" hidden="false" customHeight="false" outlineLevel="0" collapsed="false">
      <c r="A52" s="0" t="s">
        <v>112</v>
      </c>
      <c r="B52" s="0" t="s">
        <v>123</v>
      </c>
      <c r="C52" s="0" t="n">
        <f aca="false">IFERROR(MATCH(A52&amp;"|"&amp;B52&amp;"|"&amp;Control!$B$3,Assumptions!$A$2:$A$112,0),MATCH(A52&amp;"|"&amp;B52&amp;"|All",Assumptions!$A$2:$A$112,0))</f>
        <v>84</v>
      </c>
      <c r="D52" s="0" t="n">
        <f aca="false">INDEX(Assumptions!$E$2:$E$112,$C52)</f>
        <v>251.7</v>
      </c>
      <c r="E52" s="0" t="n">
        <f aca="false">INDEX(Assumptions!$F$2:$F$112,$C52)</f>
        <v>321.24006928125</v>
      </c>
      <c r="F52" s="0" t="n">
        <f aca="false">INDEX(Assumptions!$G$2:$G$112,$C52)</f>
        <v>409.992777559882</v>
      </c>
      <c r="G52" s="0" t="n">
        <f aca="false">INDEX(Assumptions!$H$2:$H$112,$C52)</f>
        <v>523.266222757842</v>
      </c>
      <c r="H52" s="0" t="n">
        <f aca="false">IF(H$1&lt;=2030,$D52+($E52-$D52)*(H$1-2025)/5,IF(H$1&lt;=2035,$E52+($F52-$E52)*(H$1-2030)/5,$F52+($G52-$F52)*(H$1-2035)/5))</f>
        <v>251.7</v>
      </c>
      <c r="I52" s="0" t="n">
        <f aca="false">IF(I$1&lt;=2030,$D52+($E52-$D52)*(I$1-2025)/5,IF(I$1&lt;=2035,$E52+($F52-$E52)*(I$1-2030)/5,$F52+($G52-$F52)*(I$1-2035)/5))</f>
        <v>265.60801385625</v>
      </c>
      <c r="J52" s="0" t="n">
        <f aca="false">IF(J$1&lt;=2030,$D52+($E52-$D52)*(J$1-2025)/5,IF(J$1&lt;=2035,$E52+($F52-$E52)*(J$1-2030)/5,$F52+($G52-$F52)*(J$1-2035)/5))</f>
        <v>279.5160277125</v>
      </c>
      <c r="K52" s="0" t="n">
        <f aca="false">IF(K$1&lt;=2030,$D52+($E52-$D52)*(K$1-2025)/5,IF(K$1&lt;=2035,$E52+($F52-$E52)*(K$1-2030)/5,$F52+($G52-$F52)*(K$1-2035)/5))</f>
        <v>293.42404156875</v>
      </c>
      <c r="L52" s="0" t="n">
        <f aca="false">IF(L$1&lt;=2030,$D52+($E52-$D52)*(L$1-2025)/5,IF(L$1&lt;=2035,$E52+($F52-$E52)*(L$1-2030)/5,$F52+($G52-$F52)*(L$1-2035)/5))</f>
        <v>307.332055425</v>
      </c>
      <c r="M52" s="0" t="n">
        <f aca="false">IF(M$1&lt;=2030,$D52+($E52-$D52)*(M$1-2025)/5,IF(M$1&lt;=2035,$E52+($F52-$E52)*(M$1-2030)/5,$F52+($G52-$F52)*(M$1-2035)/5))</f>
        <v>321.24006928125</v>
      </c>
      <c r="N52" s="0" t="n">
        <f aca="false">IF(N$1&lt;=2030,$D52+($E52-$D52)*(N$1-2025)/5,IF(N$1&lt;=2035,$E52+($F52-$E52)*(N$1-2030)/5,$F52+($G52-$F52)*(N$1-2035)/5))</f>
        <v>338.990610936977</v>
      </c>
      <c r="O52" s="0" t="n">
        <f aca="false">IF(O$1&lt;=2030,$D52+($E52-$D52)*(O$1-2025)/5,IF(O$1&lt;=2035,$E52+($F52-$E52)*(O$1-2030)/5,$F52+($G52-$F52)*(O$1-2035)/5))</f>
        <v>356.741152592703</v>
      </c>
      <c r="P52" s="0" t="n">
        <f aca="false">IF(P$1&lt;=2030,$D52+($E52-$D52)*(P$1-2025)/5,IF(P$1&lt;=2035,$E52+($F52-$E52)*(P$1-2030)/5,$F52+($G52-$F52)*(P$1-2035)/5))</f>
        <v>374.491694248429</v>
      </c>
      <c r="Q52" s="0" t="n">
        <f aca="false">IF(Q$1&lt;=2030,$D52+($E52-$D52)*(Q$1-2025)/5,IF(Q$1&lt;=2035,$E52+($F52-$E52)*(Q$1-2030)/5,$F52+($G52-$F52)*(Q$1-2035)/5))</f>
        <v>392.242235904156</v>
      </c>
      <c r="R52" s="0" t="n">
        <f aca="false">IF(R$1&lt;=2030,$D52+($E52-$D52)*(R$1-2025)/5,IF(R$1&lt;=2035,$E52+($F52-$E52)*(R$1-2030)/5,$F52+($G52-$F52)*(R$1-2035)/5))</f>
        <v>409.992777559882</v>
      </c>
      <c r="S52" s="0" t="n">
        <f aca="false">IF(S$1&lt;=2030,$D52+($E52-$D52)*(S$1-2025)/5,IF(S$1&lt;=2035,$E52+($F52-$E52)*(S$1-2030)/5,$F52+($G52-$F52)*(S$1-2035)/5))</f>
        <v>432.647466599474</v>
      </c>
      <c r="T52" s="0" t="n">
        <f aca="false">IF(T$1&lt;=2030,$D52+($E52-$D52)*(T$1-2025)/5,IF(T$1&lt;=2035,$E52+($F52-$E52)*(T$1-2030)/5,$F52+($G52-$F52)*(T$1-2035)/5))</f>
        <v>455.302155639066</v>
      </c>
      <c r="U52" s="0" t="n">
        <f aca="false">IF(U$1&lt;=2030,$D52+($E52-$D52)*(U$1-2025)/5,IF(U$1&lt;=2035,$E52+($F52-$E52)*(U$1-2030)/5,$F52+($G52-$F52)*(U$1-2035)/5))</f>
        <v>477.956844678658</v>
      </c>
      <c r="V52" s="0" t="n">
        <f aca="false">IF(V$1&lt;=2030,$D52+($E52-$D52)*(V$1-2025)/5,IF(V$1&lt;=2035,$E52+($F52-$E52)*(V$1-2030)/5,$F52+($G52-$F52)*(V$1-2035)/5))</f>
        <v>500.61153371825</v>
      </c>
      <c r="W52" s="0" t="n">
        <f aca="false">IF(W$1&lt;=2030,$D52+($E52-$D52)*(W$1-2025)/5,IF(W$1&lt;=2035,$E52+($F52-$E52)*(W$1-2030)/5,$F52+($G52-$F52)*(W$1-2035)/5))</f>
        <v>523.266222757842</v>
      </c>
    </row>
    <row r="53" customFormat="false" ht="15" hidden="false" customHeight="false" outlineLevel="0" collapsed="false">
      <c r="A53" s="0" t="s">
        <v>112</v>
      </c>
      <c r="B53" s="0" t="s">
        <v>124</v>
      </c>
      <c r="C53" s="0" t="n">
        <f aca="false">IFERROR(MATCH(A53&amp;"|"&amp;B53&amp;"|"&amp;Control!$B$3,Assumptions!$A$2:$A$112,0),MATCH(A53&amp;"|"&amp;B53&amp;"|All",Assumptions!$A$2:$A$112,0))</f>
        <v>87</v>
      </c>
      <c r="D53" s="0" t="n">
        <f aca="false">INDEX(Assumptions!$E$2:$E$112,$C53)</f>
        <v>371.8</v>
      </c>
      <c r="E53" s="0" t="n">
        <f aca="false">INDEX(Assumptions!$F$2:$F$112,$C53)</f>
        <v>474.5214849375</v>
      </c>
      <c r="F53" s="0" t="n">
        <f aca="false">INDEX(Assumptions!$G$2:$G$112,$C53)</f>
        <v>605.623022235853</v>
      </c>
      <c r="G53" s="0" t="n">
        <f aca="false">INDEX(Assumptions!$H$2:$H$112,$C53)</f>
        <v>772.945497105147</v>
      </c>
      <c r="H53" s="0" t="n">
        <f aca="false">IF(H$1&lt;=2030,$D53+($E53-$D53)*(H$1-2025)/5,IF(H$1&lt;=2035,$E53+($F53-$E53)*(H$1-2030)/5,$F53+($G53-$F53)*(H$1-2035)/5))</f>
        <v>371.8</v>
      </c>
      <c r="I53" s="0" t="n">
        <f aca="false">IF(I$1&lt;=2030,$D53+($E53-$D53)*(I$1-2025)/5,IF(I$1&lt;=2035,$E53+($F53-$E53)*(I$1-2030)/5,$F53+($G53-$F53)*(I$1-2035)/5))</f>
        <v>392.3442969875</v>
      </c>
      <c r="J53" s="0" t="n">
        <f aca="false">IF(J$1&lt;=2030,$D53+($E53-$D53)*(J$1-2025)/5,IF(J$1&lt;=2035,$E53+($F53-$E53)*(J$1-2030)/5,$F53+($G53-$F53)*(J$1-2035)/5))</f>
        <v>412.888593975</v>
      </c>
      <c r="K53" s="0" t="n">
        <f aca="false">IF(K$1&lt;=2030,$D53+($E53-$D53)*(K$1-2025)/5,IF(K$1&lt;=2035,$E53+($F53-$E53)*(K$1-2030)/5,$F53+($G53-$F53)*(K$1-2035)/5))</f>
        <v>433.4328909625</v>
      </c>
      <c r="L53" s="0" t="n">
        <f aca="false">IF(L$1&lt;=2030,$D53+($E53-$D53)*(L$1-2025)/5,IF(L$1&lt;=2035,$E53+($F53-$E53)*(L$1-2030)/5,$F53+($G53-$F53)*(L$1-2035)/5))</f>
        <v>453.97718795</v>
      </c>
      <c r="M53" s="0" t="n">
        <f aca="false">IF(M$1&lt;=2030,$D53+($E53-$D53)*(M$1-2025)/5,IF(M$1&lt;=2035,$E53+($F53-$E53)*(M$1-2030)/5,$F53+($G53-$F53)*(M$1-2035)/5))</f>
        <v>474.5214849375</v>
      </c>
      <c r="N53" s="0" t="n">
        <f aca="false">IF(N$1&lt;=2030,$D53+($E53-$D53)*(N$1-2025)/5,IF(N$1&lt;=2035,$E53+($F53-$E53)*(N$1-2030)/5,$F53+($G53-$F53)*(N$1-2035)/5))</f>
        <v>500.741792397171</v>
      </c>
      <c r="O53" s="0" t="n">
        <f aca="false">IF(O$1&lt;=2030,$D53+($E53-$D53)*(O$1-2025)/5,IF(O$1&lt;=2035,$E53+($F53-$E53)*(O$1-2030)/5,$F53+($G53-$F53)*(O$1-2035)/5))</f>
        <v>526.962099856841</v>
      </c>
      <c r="P53" s="0" t="n">
        <f aca="false">IF(P$1&lt;=2030,$D53+($E53-$D53)*(P$1-2025)/5,IF(P$1&lt;=2035,$E53+($F53-$E53)*(P$1-2030)/5,$F53+($G53-$F53)*(P$1-2035)/5))</f>
        <v>553.182407316512</v>
      </c>
      <c r="Q53" s="0" t="n">
        <f aca="false">IF(Q$1&lt;=2030,$D53+($E53-$D53)*(Q$1-2025)/5,IF(Q$1&lt;=2035,$E53+($F53-$E53)*(Q$1-2030)/5,$F53+($G53-$F53)*(Q$1-2035)/5))</f>
        <v>579.402714776182</v>
      </c>
      <c r="R53" s="0" t="n">
        <f aca="false">IF(R$1&lt;=2030,$D53+($E53-$D53)*(R$1-2025)/5,IF(R$1&lt;=2035,$E53+($F53-$E53)*(R$1-2030)/5,$F53+($G53-$F53)*(R$1-2035)/5))</f>
        <v>605.623022235853</v>
      </c>
      <c r="S53" s="0" t="n">
        <f aca="false">IF(S$1&lt;=2030,$D53+($E53-$D53)*(S$1-2025)/5,IF(S$1&lt;=2035,$E53+($F53-$E53)*(S$1-2030)/5,$F53+($G53-$F53)*(S$1-2035)/5))</f>
        <v>639.087517209712</v>
      </c>
      <c r="T53" s="0" t="n">
        <f aca="false">IF(T$1&lt;=2030,$D53+($E53-$D53)*(T$1-2025)/5,IF(T$1&lt;=2035,$E53+($F53-$E53)*(T$1-2030)/5,$F53+($G53-$F53)*(T$1-2035)/5))</f>
        <v>672.552012183571</v>
      </c>
      <c r="U53" s="0" t="n">
        <f aca="false">IF(U$1&lt;=2030,$D53+($E53-$D53)*(U$1-2025)/5,IF(U$1&lt;=2035,$E53+($F53-$E53)*(U$1-2030)/5,$F53+($G53-$F53)*(U$1-2035)/5))</f>
        <v>706.016507157429</v>
      </c>
      <c r="V53" s="0" t="n">
        <f aca="false">IF(V$1&lt;=2030,$D53+($E53-$D53)*(V$1-2025)/5,IF(V$1&lt;=2035,$E53+($F53-$E53)*(V$1-2030)/5,$F53+($G53-$F53)*(V$1-2035)/5))</f>
        <v>739.481002131288</v>
      </c>
      <c r="W53" s="0" t="n">
        <f aca="false">IF(W$1&lt;=2030,$D53+($E53-$D53)*(W$1-2025)/5,IF(W$1&lt;=2035,$E53+($F53-$E53)*(W$1-2030)/5,$F53+($G53-$F53)*(W$1-2035)/5))</f>
        <v>772.945497105147</v>
      </c>
    </row>
    <row r="54" customFormat="false" ht="15" hidden="false" customHeight="false" outlineLevel="0" collapsed="false">
      <c r="A54" s="0" t="s">
        <v>125</v>
      </c>
      <c r="B54" s="0" t="s">
        <v>126</v>
      </c>
      <c r="C54" s="0" t="n">
        <f aca="false">IFERROR(MATCH(A54&amp;"|"&amp;B54&amp;"|"&amp;Control!$B$3,Assumptions!$A$2:$A$112,0),MATCH(A54&amp;"|"&amp;B54&amp;"|All",Assumptions!$A$2:$A$112,0))</f>
        <v>91</v>
      </c>
      <c r="D54" s="0" t="n">
        <f aca="false">INDEX(Assumptions!$E$2:$E$112,$C54)</f>
        <v>0</v>
      </c>
      <c r="E54" s="0" t="n">
        <f aca="false">INDEX(Assumptions!$F$2:$F$112,$C54)</f>
        <v>0</v>
      </c>
      <c r="F54" s="0" t="n">
        <f aca="false">INDEX(Assumptions!$G$2:$G$112,$C54)</f>
        <v>0</v>
      </c>
      <c r="G54" s="0" t="n">
        <f aca="false">INDEX(Assumptions!$H$2:$H$112,$C54)</f>
        <v>600</v>
      </c>
      <c r="H54" s="0" t="n">
        <f aca="false">IF(H$1&lt;=2030,$D54+($E54-$D54)*(H$1-2025)/5,IF(H$1&lt;=2035,$E54+($F54-$E54)*(H$1-2030)/5,$F54+($G54-$F54)*(H$1-2035)/5))</f>
        <v>0</v>
      </c>
      <c r="I54" s="0" t="n">
        <f aca="false">IF(I$1&lt;=2030,$D54+($E54-$D54)*(I$1-2025)/5,IF(I$1&lt;=2035,$E54+($F54-$E54)*(I$1-2030)/5,$F54+($G54-$F54)*(I$1-2035)/5))</f>
        <v>0</v>
      </c>
      <c r="J54" s="0" t="n">
        <f aca="false">IF(J$1&lt;=2030,$D54+($E54-$D54)*(J$1-2025)/5,IF(J$1&lt;=2035,$E54+($F54-$E54)*(J$1-2030)/5,$F54+($G54-$F54)*(J$1-2035)/5))</f>
        <v>0</v>
      </c>
      <c r="K54" s="0" t="n">
        <f aca="false">IF(K$1&lt;=2030,$D54+($E54-$D54)*(K$1-2025)/5,IF(K$1&lt;=2035,$E54+($F54-$E54)*(K$1-2030)/5,$F54+($G54-$F54)*(K$1-2035)/5))</f>
        <v>0</v>
      </c>
      <c r="L54" s="0" t="n">
        <f aca="false">IF(L$1&lt;=2030,$D54+($E54-$D54)*(L$1-2025)/5,IF(L$1&lt;=2035,$E54+($F54-$E54)*(L$1-2030)/5,$F54+($G54-$F54)*(L$1-2035)/5))</f>
        <v>0</v>
      </c>
      <c r="M54" s="0" t="n">
        <f aca="false">IF(M$1&lt;=2030,$D54+($E54-$D54)*(M$1-2025)/5,IF(M$1&lt;=2035,$E54+($F54-$E54)*(M$1-2030)/5,$F54+($G54-$F54)*(M$1-2035)/5))</f>
        <v>0</v>
      </c>
      <c r="N54" s="0" t="n">
        <f aca="false">IF(N$1&lt;=2030,$D54+($E54-$D54)*(N$1-2025)/5,IF(N$1&lt;=2035,$E54+($F54-$E54)*(N$1-2030)/5,$F54+($G54-$F54)*(N$1-2035)/5))</f>
        <v>0</v>
      </c>
      <c r="O54" s="0" t="n">
        <f aca="false">IF(O$1&lt;=2030,$D54+($E54-$D54)*(O$1-2025)/5,IF(O$1&lt;=2035,$E54+($F54-$E54)*(O$1-2030)/5,$F54+($G54-$F54)*(O$1-2035)/5))</f>
        <v>0</v>
      </c>
      <c r="P54" s="0" t="n">
        <f aca="false">IF(P$1&lt;=2030,$D54+($E54-$D54)*(P$1-2025)/5,IF(P$1&lt;=2035,$E54+($F54-$E54)*(P$1-2030)/5,$F54+($G54-$F54)*(P$1-2035)/5))</f>
        <v>0</v>
      </c>
      <c r="Q54" s="0" t="n">
        <f aca="false">IF(Q$1&lt;=2030,$D54+($E54-$D54)*(Q$1-2025)/5,IF(Q$1&lt;=2035,$E54+($F54-$E54)*(Q$1-2030)/5,$F54+($G54-$F54)*(Q$1-2035)/5))</f>
        <v>0</v>
      </c>
      <c r="R54" s="0" t="n">
        <f aca="false">IF(R$1&lt;=2030,$D54+($E54-$D54)*(R$1-2025)/5,IF(R$1&lt;=2035,$E54+($F54-$E54)*(R$1-2030)/5,$F54+($G54-$F54)*(R$1-2035)/5))</f>
        <v>0</v>
      </c>
      <c r="S54" s="0" t="n">
        <f aca="false">IF(S$1&lt;=2030,$D54+($E54-$D54)*(S$1-2025)/5,IF(S$1&lt;=2035,$E54+($F54-$E54)*(S$1-2030)/5,$F54+($G54-$F54)*(S$1-2035)/5))</f>
        <v>120</v>
      </c>
      <c r="T54" s="0" t="n">
        <f aca="false">IF(T$1&lt;=2030,$D54+($E54-$D54)*(T$1-2025)/5,IF(T$1&lt;=2035,$E54+($F54-$E54)*(T$1-2030)/5,$F54+($G54-$F54)*(T$1-2035)/5))</f>
        <v>240</v>
      </c>
      <c r="U54" s="0" t="n">
        <f aca="false">IF(U$1&lt;=2030,$D54+($E54-$D54)*(U$1-2025)/5,IF(U$1&lt;=2035,$E54+($F54-$E54)*(U$1-2030)/5,$F54+($G54-$F54)*(U$1-2035)/5))</f>
        <v>360</v>
      </c>
      <c r="V54" s="0" t="n">
        <f aca="false">IF(V$1&lt;=2030,$D54+($E54-$D54)*(V$1-2025)/5,IF(V$1&lt;=2035,$E54+($F54-$E54)*(V$1-2030)/5,$F54+($G54-$F54)*(V$1-2035)/5))</f>
        <v>480</v>
      </c>
      <c r="W54" s="0" t="n">
        <f aca="false">IF(W$1&lt;=2030,$D54+($E54-$D54)*(W$1-2025)/5,IF(W$1&lt;=2035,$E54+($F54-$E54)*(W$1-2030)/5,$F54+($G54-$F54)*(W$1-2035)/5))</f>
        <v>600</v>
      </c>
    </row>
    <row r="55" customFormat="false" ht="15" hidden="false" customHeight="false" outlineLevel="0" collapsed="false">
      <c r="A55" s="0" t="s">
        <v>129</v>
      </c>
      <c r="B55" s="0" t="s">
        <v>126</v>
      </c>
      <c r="C55" s="0" t="n">
        <f aca="false">IFERROR(MATCH(A55&amp;"|"&amp;B55&amp;"|"&amp;Control!$B$3,Assumptions!$A$2:$A$112,0),MATCH(A55&amp;"|"&amp;B55&amp;"|All",Assumptions!$A$2:$A$112,0))</f>
        <v>92</v>
      </c>
      <c r="D55" s="0" t="n">
        <f aca="false">INDEX(Assumptions!$E$2:$E$112,$C55)</f>
        <v>2039</v>
      </c>
      <c r="E55" s="0" t="n">
        <f aca="false">INDEX(Assumptions!$F$2:$F$112,$C55)</f>
        <v>2039</v>
      </c>
      <c r="F55" s="0" t="n">
        <f aca="false">INDEX(Assumptions!$G$2:$G$112,$C55)</f>
        <v>2039</v>
      </c>
      <c r="G55" s="0" t="n">
        <f aca="false">INDEX(Assumptions!$H$2:$H$112,$C55)</f>
        <v>2039</v>
      </c>
      <c r="H55" s="0" t="n">
        <f aca="false">IF(H$1&lt;=2030,$D55+($E55-$D55)*(H$1-2025)/5,IF(H$1&lt;=2035,$E55+($F55-$E55)*(H$1-2030)/5,$F55+($G55-$F55)*(H$1-2035)/5))</f>
        <v>2039</v>
      </c>
      <c r="I55" s="0" t="n">
        <f aca="false">IF(I$1&lt;=2030,$D55+($E55-$D55)*(I$1-2025)/5,IF(I$1&lt;=2035,$E55+($F55-$E55)*(I$1-2030)/5,$F55+($G55-$F55)*(I$1-2035)/5))</f>
        <v>2039</v>
      </c>
      <c r="J55" s="0" t="n">
        <f aca="false">IF(J$1&lt;=2030,$D55+($E55-$D55)*(J$1-2025)/5,IF(J$1&lt;=2035,$E55+($F55-$E55)*(J$1-2030)/5,$F55+($G55-$F55)*(J$1-2035)/5))</f>
        <v>2039</v>
      </c>
      <c r="K55" s="0" t="n">
        <f aca="false">IF(K$1&lt;=2030,$D55+($E55-$D55)*(K$1-2025)/5,IF(K$1&lt;=2035,$E55+($F55-$E55)*(K$1-2030)/5,$F55+($G55-$F55)*(K$1-2035)/5))</f>
        <v>2039</v>
      </c>
      <c r="L55" s="0" t="n">
        <f aca="false">IF(L$1&lt;=2030,$D55+($E55-$D55)*(L$1-2025)/5,IF(L$1&lt;=2035,$E55+($F55-$E55)*(L$1-2030)/5,$F55+($G55-$F55)*(L$1-2035)/5))</f>
        <v>2039</v>
      </c>
      <c r="M55" s="0" t="n">
        <f aca="false">IF(M$1&lt;=2030,$D55+($E55-$D55)*(M$1-2025)/5,IF(M$1&lt;=2035,$E55+($F55-$E55)*(M$1-2030)/5,$F55+($G55-$F55)*(M$1-2035)/5))</f>
        <v>2039</v>
      </c>
      <c r="N55" s="0" t="n">
        <f aca="false">IF(N$1&lt;=2030,$D55+($E55-$D55)*(N$1-2025)/5,IF(N$1&lt;=2035,$E55+($F55-$E55)*(N$1-2030)/5,$F55+($G55-$F55)*(N$1-2035)/5))</f>
        <v>2039</v>
      </c>
      <c r="O55" s="0" t="n">
        <f aca="false">IF(O$1&lt;=2030,$D55+($E55-$D55)*(O$1-2025)/5,IF(O$1&lt;=2035,$E55+($F55-$E55)*(O$1-2030)/5,$F55+($G55-$F55)*(O$1-2035)/5))</f>
        <v>2039</v>
      </c>
      <c r="P55" s="0" t="n">
        <f aca="false">IF(P$1&lt;=2030,$D55+($E55-$D55)*(P$1-2025)/5,IF(P$1&lt;=2035,$E55+($F55-$E55)*(P$1-2030)/5,$F55+($G55-$F55)*(P$1-2035)/5))</f>
        <v>2039</v>
      </c>
      <c r="Q55" s="0" t="n">
        <f aca="false">IF(Q$1&lt;=2030,$D55+($E55-$D55)*(Q$1-2025)/5,IF(Q$1&lt;=2035,$E55+($F55-$E55)*(Q$1-2030)/5,$F55+($G55-$F55)*(Q$1-2035)/5))</f>
        <v>2039</v>
      </c>
      <c r="R55" s="0" t="n">
        <f aca="false">IF(R$1&lt;=2030,$D55+($E55-$D55)*(R$1-2025)/5,IF(R$1&lt;=2035,$E55+($F55-$E55)*(R$1-2030)/5,$F55+($G55-$F55)*(R$1-2035)/5))</f>
        <v>2039</v>
      </c>
      <c r="S55" s="0" t="n">
        <f aca="false">IF(S$1&lt;=2030,$D55+($E55-$D55)*(S$1-2025)/5,IF(S$1&lt;=2035,$E55+($F55-$E55)*(S$1-2030)/5,$F55+($G55-$F55)*(S$1-2035)/5))</f>
        <v>2039</v>
      </c>
      <c r="T55" s="0" t="n">
        <f aca="false">IF(T$1&lt;=2030,$D55+($E55-$D55)*(T$1-2025)/5,IF(T$1&lt;=2035,$E55+($F55-$E55)*(T$1-2030)/5,$F55+($G55-$F55)*(T$1-2035)/5))</f>
        <v>2039</v>
      </c>
      <c r="U55" s="0" t="n">
        <f aca="false">IF(U$1&lt;=2030,$D55+($E55-$D55)*(U$1-2025)/5,IF(U$1&lt;=2035,$E55+($F55-$E55)*(U$1-2030)/5,$F55+($G55-$F55)*(U$1-2035)/5))</f>
        <v>2039</v>
      </c>
      <c r="V55" s="0" t="n">
        <f aca="false">IF(V$1&lt;=2030,$D55+($E55-$D55)*(V$1-2025)/5,IF(V$1&lt;=2035,$E55+($F55-$E55)*(V$1-2030)/5,$F55+($G55-$F55)*(V$1-2035)/5))</f>
        <v>2039</v>
      </c>
      <c r="W55" s="0" t="n">
        <f aca="false">IF(W$1&lt;=2030,$D55+($E55-$D55)*(W$1-2025)/5,IF(W$1&lt;=2035,$E55+($F55-$E55)*(W$1-2030)/5,$F55+($G55-$F55)*(W$1-2035)/5))</f>
        <v>2039</v>
      </c>
    </row>
    <row r="56" customFormat="false" ht="15" hidden="false" customHeight="false" outlineLevel="0" collapsed="false">
      <c r="A56" s="0" t="s">
        <v>134</v>
      </c>
      <c r="B56" s="0" t="s">
        <v>126</v>
      </c>
      <c r="C56" s="0" t="n">
        <f aca="false">IFERROR(MATCH(A56&amp;"|"&amp;B56&amp;"|"&amp;Control!$B$3,Assumptions!$A$2:$A$112,0),MATCH(A56&amp;"|"&amp;B56&amp;"|All",Assumptions!$A$2:$A$112,0))</f>
        <v>97</v>
      </c>
      <c r="D56" s="0" t="n">
        <f aca="false">INDEX(Assumptions!$E$2:$E$112,$C56)</f>
        <v>0</v>
      </c>
      <c r="E56" s="0" t="n">
        <f aca="false">INDEX(Assumptions!$F$2:$F$112,$C56)</f>
        <v>0</v>
      </c>
      <c r="F56" s="0" t="n">
        <f aca="false">INDEX(Assumptions!$G$2:$G$112,$C56)</f>
        <v>6000</v>
      </c>
      <c r="G56" s="0" t="n">
        <f aca="false">INDEX(Assumptions!$H$2:$H$112,$C56)</f>
        <v>12000</v>
      </c>
      <c r="H56" s="0" t="n">
        <f aca="false">IF(H$1&lt;=2030,$D56+($E56-$D56)*(H$1-2025)/5,IF(H$1&lt;=2035,$E56+($F56-$E56)*(H$1-2030)/5,$F56+($G56-$F56)*(H$1-2035)/5))</f>
        <v>0</v>
      </c>
      <c r="I56" s="0" t="n">
        <f aca="false">IF(I$1&lt;=2030,$D56+($E56-$D56)*(I$1-2025)/5,IF(I$1&lt;=2035,$E56+($F56-$E56)*(I$1-2030)/5,$F56+($G56-$F56)*(I$1-2035)/5))</f>
        <v>0</v>
      </c>
      <c r="J56" s="0" t="n">
        <f aca="false">IF(J$1&lt;=2030,$D56+($E56-$D56)*(J$1-2025)/5,IF(J$1&lt;=2035,$E56+($F56-$E56)*(J$1-2030)/5,$F56+($G56-$F56)*(J$1-2035)/5))</f>
        <v>0</v>
      </c>
      <c r="K56" s="0" t="n">
        <f aca="false">IF(K$1&lt;=2030,$D56+($E56-$D56)*(K$1-2025)/5,IF(K$1&lt;=2035,$E56+($F56-$E56)*(K$1-2030)/5,$F56+($G56-$F56)*(K$1-2035)/5))</f>
        <v>0</v>
      </c>
      <c r="L56" s="0" t="n">
        <f aca="false">IF(L$1&lt;=2030,$D56+($E56-$D56)*(L$1-2025)/5,IF(L$1&lt;=2035,$E56+($F56-$E56)*(L$1-2030)/5,$F56+($G56-$F56)*(L$1-2035)/5))</f>
        <v>0</v>
      </c>
      <c r="M56" s="0" t="n">
        <f aca="false">IF(M$1&lt;=2030,$D56+($E56-$D56)*(M$1-2025)/5,IF(M$1&lt;=2035,$E56+($F56-$E56)*(M$1-2030)/5,$F56+($G56-$F56)*(M$1-2035)/5))</f>
        <v>0</v>
      </c>
      <c r="N56" s="0" t="n">
        <f aca="false">IF(N$1&lt;=2030,$D56+($E56-$D56)*(N$1-2025)/5,IF(N$1&lt;=2035,$E56+($F56-$E56)*(N$1-2030)/5,$F56+($G56-$F56)*(N$1-2035)/5))</f>
        <v>1200</v>
      </c>
      <c r="O56" s="0" t="n">
        <f aca="false">IF(O$1&lt;=2030,$D56+($E56-$D56)*(O$1-2025)/5,IF(O$1&lt;=2035,$E56+($F56-$E56)*(O$1-2030)/5,$F56+($G56-$F56)*(O$1-2035)/5))</f>
        <v>2400</v>
      </c>
      <c r="P56" s="0" t="n">
        <f aca="false">IF(P$1&lt;=2030,$D56+($E56-$D56)*(P$1-2025)/5,IF(P$1&lt;=2035,$E56+($F56-$E56)*(P$1-2030)/5,$F56+($G56-$F56)*(P$1-2035)/5))</f>
        <v>3600</v>
      </c>
      <c r="Q56" s="0" t="n">
        <f aca="false">IF(Q$1&lt;=2030,$D56+($E56-$D56)*(Q$1-2025)/5,IF(Q$1&lt;=2035,$E56+($F56-$E56)*(Q$1-2030)/5,$F56+($G56-$F56)*(Q$1-2035)/5))</f>
        <v>4800</v>
      </c>
      <c r="R56" s="0" t="n">
        <f aca="false">IF(R$1&lt;=2030,$D56+($E56-$D56)*(R$1-2025)/5,IF(R$1&lt;=2035,$E56+($F56-$E56)*(R$1-2030)/5,$F56+($G56-$F56)*(R$1-2035)/5))</f>
        <v>6000</v>
      </c>
      <c r="S56" s="0" t="n">
        <f aca="false">IF(S$1&lt;=2030,$D56+($E56-$D56)*(S$1-2025)/5,IF(S$1&lt;=2035,$E56+($F56-$E56)*(S$1-2030)/5,$F56+($G56-$F56)*(S$1-2035)/5))</f>
        <v>7200</v>
      </c>
      <c r="T56" s="0" t="n">
        <f aca="false">IF(T$1&lt;=2030,$D56+($E56-$D56)*(T$1-2025)/5,IF(T$1&lt;=2035,$E56+($F56-$E56)*(T$1-2030)/5,$F56+($G56-$F56)*(T$1-2035)/5))</f>
        <v>8400</v>
      </c>
      <c r="U56" s="0" t="n">
        <f aca="false">IF(U$1&lt;=2030,$D56+($E56-$D56)*(U$1-2025)/5,IF(U$1&lt;=2035,$E56+($F56-$E56)*(U$1-2030)/5,$F56+($G56-$F56)*(U$1-2035)/5))</f>
        <v>9600</v>
      </c>
      <c r="V56" s="0" t="n">
        <f aca="false">IF(V$1&lt;=2030,$D56+($E56-$D56)*(V$1-2025)/5,IF(V$1&lt;=2035,$E56+($F56-$E56)*(V$1-2030)/5,$F56+($G56-$F56)*(V$1-2035)/5))</f>
        <v>10800</v>
      </c>
      <c r="W56" s="0" t="n">
        <f aca="false">IF(W$1&lt;=2030,$D56+($E56-$D56)*(W$1-2025)/5,IF(W$1&lt;=2035,$E56+($F56-$E56)*(W$1-2030)/5,$F56+($G56-$F56)*(W$1-2035)/5))</f>
        <v>12000</v>
      </c>
    </row>
    <row r="57" customFormat="false" ht="15" hidden="false" customHeight="false" outlineLevel="0" collapsed="false">
      <c r="A57" s="0" t="s">
        <v>137</v>
      </c>
      <c r="B57" s="0" t="s">
        <v>126</v>
      </c>
      <c r="C57" s="0" t="n">
        <f aca="false">IFERROR(MATCH(A57&amp;"|"&amp;B57&amp;"|"&amp;Control!$B$3,Assumptions!$A$2:$A$112,0),MATCH(A57&amp;"|"&amp;B57&amp;"|All",Assumptions!$A$2:$A$112,0))</f>
        <v>98</v>
      </c>
      <c r="D57" s="0" t="n">
        <f aca="false">INDEX(Assumptions!$E$2:$E$112,$C57)</f>
        <v>2032</v>
      </c>
      <c r="E57" s="0" t="n">
        <f aca="false">INDEX(Assumptions!$F$2:$F$112,$C57)</f>
        <v>2032</v>
      </c>
      <c r="F57" s="0" t="n">
        <f aca="false">INDEX(Assumptions!$G$2:$G$112,$C57)</f>
        <v>2032</v>
      </c>
      <c r="G57" s="0" t="n">
        <f aca="false">INDEX(Assumptions!$H$2:$H$112,$C57)</f>
        <v>2032</v>
      </c>
      <c r="H57" s="0" t="n">
        <f aca="false">IF(H$1&lt;=2030,$D57+($E57-$D57)*(H$1-2025)/5,IF(H$1&lt;=2035,$E57+($F57-$E57)*(H$1-2030)/5,$F57+($G57-$F57)*(H$1-2035)/5))</f>
        <v>2032</v>
      </c>
      <c r="I57" s="0" t="n">
        <f aca="false">IF(I$1&lt;=2030,$D57+($E57-$D57)*(I$1-2025)/5,IF(I$1&lt;=2035,$E57+($F57-$E57)*(I$1-2030)/5,$F57+($G57-$F57)*(I$1-2035)/5))</f>
        <v>2032</v>
      </c>
      <c r="J57" s="0" t="n">
        <f aca="false">IF(J$1&lt;=2030,$D57+($E57-$D57)*(J$1-2025)/5,IF(J$1&lt;=2035,$E57+($F57-$E57)*(J$1-2030)/5,$F57+($G57-$F57)*(J$1-2035)/5))</f>
        <v>2032</v>
      </c>
      <c r="K57" s="0" t="n">
        <f aca="false">IF(K$1&lt;=2030,$D57+($E57-$D57)*(K$1-2025)/5,IF(K$1&lt;=2035,$E57+($F57-$E57)*(K$1-2030)/5,$F57+($G57-$F57)*(K$1-2035)/5))</f>
        <v>2032</v>
      </c>
      <c r="L57" s="0" t="n">
        <f aca="false">IF(L$1&lt;=2030,$D57+($E57-$D57)*(L$1-2025)/5,IF(L$1&lt;=2035,$E57+($F57-$E57)*(L$1-2030)/5,$F57+($G57-$F57)*(L$1-2035)/5))</f>
        <v>2032</v>
      </c>
      <c r="M57" s="0" t="n">
        <f aca="false">IF(M$1&lt;=2030,$D57+($E57-$D57)*(M$1-2025)/5,IF(M$1&lt;=2035,$E57+($F57-$E57)*(M$1-2030)/5,$F57+($G57-$F57)*(M$1-2035)/5))</f>
        <v>2032</v>
      </c>
      <c r="N57" s="0" t="n">
        <f aca="false">IF(N$1&lt;=2030,$D57+($E57-$D57)*(N$1-2025)/5,IF(N$1&lt;=2035,$E57+($F57-$E57)*(N$1-2030)/5,$F57+($G57-$F57)*(N$1-2035)/5))</f>
        <v>2032</v>
      </c>
      <c r="O57" s="0" t="n">
        <f aca="false">IF(O$1&lt;=2030,$D57+($E57-$D57)*(O$1-2025)/5,IF(O$1&lt;=2035,$E57+($F57-$E57)*(O$1-2030)/5,$F57+($G57-$F57)*(O$1-2035)/5))</f>
        <v>2032</v>
      </c>
      <c r="P57" s="0" t="n">
        <f aca="false">IF(P$1&lt;=2030,$D57+($E57-$D57)*(P$1-2025)/5,IF(P$1&lt;=2035,$E57+($F57-$E57)*(P$1-2030)/5,$F57+($G57-$F57)*(P$1-2035)/5))</f>
        <v>2032</v>
      </c>
      <c r="Q57" s="0" t="n">
        <f aca="false">IF(Q$1&lt;=2030,$D57+($E57-$D57)*(Q$1-2025)/5,IF(Q$1&lt;=2035,$E57+($F57-$E57)*(Q$1-2030)/5,$F57+($G57-$F57)*(Q$1-2035)/5))</f>
        <v>2032</v>
      </c>
      <c r="R57" s="0" t="n">
        <f aca="false">IF(R$1&lt;=2030,$D57+($E57-$D57)*(R$1-2025)/5,IF(R$1&lt;=2035,$E57+($F57-$E57)*(R$1-2030)/5,$F57+($G57-$F57)*(R$1-2035)/5))</f>
        <v>2032</v>
      </c>
      <c r="S57" s="0" t="n">
        <f aca="false">IF(S$1&lt;=2030,$D57+($E57-$D57)*(S$1-2025)/5,IF(S$1&lt;=2035,$E57+($F57-$E57)*(S$1-2030)/5,$F57+($G57-$F57)*(S$1-2035)/5))</f>
        <v>2032</v>
      </c>
      <c r="T57" s="0" t="n">
        <f aca="false">IF(T$1&lt;=2030,$D57+($E57-$D57)*(T$1-2025)/5,IF(T$1&lt;=2035,$E57+($F57-$E57)*(T$1-2030)/5,$F57+($G57-$F57)*(T$1-2035)/5))</f>
        <v>2032</v>
      </c>
      <c r="U57" s="0" t="n">
        <f aca="false">IF(U$1&lt;=2030,$D57+($E57-$D57)*(U$1-2025)/5,IF(U$1&lt;=2035,$E57+($F57-$E57)*(U$1-2030)/5,$F57+($G57-$F57)*(U$1-2035)/5))</f>
        <v>2032</v>
      </c>
      <c r="V57" s="0" t="n">
        <f aca="false">IF(V$1&lt;=2030,$D57+($E57-$D57)*(V$1-2025)/5,IF(V$1&lt;=2035,$E57+($F57-$E57)*(V$1-2030)/5,$F57+($G57-$F57)*(V$1-2035)/5))</f>
        <v>2032</v>
      </c>
      <c r="W57" s="0" t="n">
        <f aca="false">IF(W$1&lt;=2030,$D57+($E57-$D57)*(W$1-2025)/5,IF(W$1&lt;=2035,$E57+($F57-$E57)*(W$1-2030)/5,$F57+($G57-$F57)*(W$1-2035)/5))</f>
        <v>2032</v>
      </c>
    </row>
    <row r="58" customFormat="false" ht="15" hidden="false" customHeight="false" outlineLevel="0" collapsed="false">
      <c r="A58" s="0" t="s">
        <v>138</v>
      </c>
      <c r="B58" s="0" t="s">
        <v>139</v>
      </c>
      <c r="C58" s="0" t="n">
        <f aca="false">IFERROR(MATCH(A58&amp;"|"&amp;B58&amp;"|"&amp;Control!$B$3,Assumptions!$A$2:$A$112,0),MATCH(A58&amp;"|"&amp;B58&amp;"|All",Assumptions!$A$2:$A$112,0))</f>
        <v>102</v>
      </c>
      <c r="D58" s="0" t="n">
        <f aca="false">INDEX(Assumptions!$E$2:$E$112,$C58)</f>
        <v>0.3</v>
      </c>
      <c r="E58" s="0" t="n">
        <f aca="false">INDEX(Assumptions!$F$2:$F$112,$C58)</f>
        <v>0.7</v>
      </c>
      <c r="F58" s="0" t="n">
        <f aca="false">INDEX(Assumptions!$G$2:$G$112,$C58)</f>
        <v>0.85</v>
      </c>
      <c r="G58" s="0" t="n">
        <f aca="false">INDEX(Assumptions!$H$2:$H$112,$C58)</f>
        <v>0.9</v>
      </c>
      <c r="H58" s="0" t="n">
        <f aca="false">IF(H$1&lt;=2030,$D58+($E58-$D58)*(H$1-2025)/5,IF(H$1&lt;=2035,$E58+($F58-$E58)*(H$1-2030)/5,$F58+($G58-$F58)*(H$1-2035)/5))</f>
        <v>0.3</v>
      </c>
      <c r="I58" s="0" t="n">
        <f aca="false">IF(I$1&lt;=2030,$D58+($E58-$D58)*(I$1-2025)/5,IF(I$1&lt;=2035,$E58+($F58-$E58)*(I$1-2030)/5,$F58+($G58-$F58)*(I$1-2035)/5))</f>
        <v>0.38</v>
      </c>
      <c r="J58" s="0" t="n">
        <f aca="false">IF(J$1&lt;=2030,$D58+($E58-$D58)*(J$1-2025)/5,IF(J$1&lt;=2035,$E58+($F58-$E58)*(J$1-2030)/5,$F58+($G58-$F58)*(J$1-2035)/5))</f>
        <v>0.46</v>
      </c>
      <c r="K58" s="0" t="n">
        <f aca="false">IF(K$1&lt;=2030,$D58+($E58-$D58)*(K$1-2025)/5,IF(K$1&lt;=2035,$E58+($F58-$E58)*(K$1-2030)/5,$F58+($G58-$F58)*(K$1-2035)/5))</f>
        <v>0.54</v>
      </c>
      <c r="L58" s="0" t="n">
        <f aca="false">IF(L$1&lt;=2030,$D58+($E58-$D58)*(L$1-2025)/5,IF(L$1&lt;=2035,$E58+($F58-$E58)*(L$1-2030)/5,$F58+($G58-$F58)*(L$1-2035)/5))</f>
        <v>0.62</v>
      </c>
      <c r="M58" s="0" t="n">
        <f aca="false">IF(M$1&lt;=2030,$D58+($E58-$D58)*(M$1-2025)/5,IF(M$1&lt;=2035,$E58+($F58-$E58)*(M$1-2030)/5,$F58+($G58-$F58)*(M$1-2035)/5))</f>
        <v>0.7</v>
      </c>
      <c r="N58" s="0" t="n">
        <f aca="false">IF(N$1&lt;=2030,$D58+($E58-$D58)*(N$1-2025)/5,IF(N$1&lt;=2035,$E58+($F58-$E58)*(N$1-2030)/5,$F58+($G58-$F58)*(N$1-2035)/5))</f>
        <v>0.73</v>
      </c>
      <c r="O58" s="0" t="n">
        <f aca="false">IF(O$1&lt;=2030,$D58+($E58-$D58)*(O$1-2025)/5,IF(O$1&lt;=2035,$E58+($F58-$E58)*(O$1-2030)/5,$F58+($G58-$F58)*(O$1-2035)/5))</f>
        <v>0.76</v>
      </c>
      <c r="P58" s="0" t="n">
        <f aca="false">IF(P$1&lt;=2030,$D58+($E58-$D58)*(P$1-2025)/5,IF(P$1&lt;=2035,$E58+($F58-$E58)*(P$1-2030)/5,$F58+($G58-$F58)*(P$1-2035)/5))</f>
        <v>0.79</v>
      </c>
      <c r="Q58" s="0" t="n">
        <f aca="false">IF(Q$1&lt;=2030,$D58+($E58-$D58)*(Q$1-2025)/5,IF(Q$1&lt;=2035,$E58+($F58-$E58)*(Q$1-2030)/5,$F58+($G58-$F58)*(Q$1-2035)/5))</f>
        <v>0.82</v>
      </c>
      <c r="R58" s="0" t="n">
        <f aca="false">IF(R$1&lt;=2030,$D58+($E58-$D58)*(R$1-2025)/5,IF(R$1&lt;=2035,$E58+($F58-$E58)*(R$1-2030)/5,$F58+($G58-$F58)*(R$1-2035)/5))</f>
        <v>0.85</v>
      </c>
      <c r="S58" s="0" t="n">
        <f aca="false">IF(S$1&lt;=2030,$D58+($E58-$D58)*(S$1-2025)/5,IF(S$1&lt;=2035,$E58+($F58-$E58)*(S$1-2030)/5,$F58+($G58-$F58)*(S$1-2035)/5))</f>
        <v>0.86</v>
      </c>
      <c r="T58" s="0" t="n">
        <f aca="false">IF(T$1&lt;=2030,$D58+($E58-$D58)*(T$1-2025)/5,IF(T$1&lt;=2035,$E58+($F58-$E58)*(T$1-2030)/5,$F58+($G58-$F58)*(T$1-2035)/5))</f>
        <v>0.87</v>
      </c>
      <c r="U58" s="0" t="n">
        <f aca="false">IF(U$1&lt;=2030,$D58+($E58-$D58)*(U$1-2025)/5,IF(U$1&lt;=2035,$E58+($F58-$E58)*(U$1-2030)/5,$F58+($G58-$F58)*(U$1-2035)/5))</f>
        <v>0.88</v>
      </c>
      <c r="V58" s="0" t="n">
        <f aca="false">IF(V$1&lt;=2030,$D58+($E58-$D58)*(V$1-2025)/5,IF(V$1&lt;=2035,$E58+($F58-$E58)*(V$1-2030)/5,$F58+($G58-$F58)*(V$1-2035)/5))</f>
        <v>0.89</v>
      </c>
      <c r="W58" s="0" t="n">
        <f aca="false">IF(W$1&lt;=2030,$D58+($E58-$D58)*(W$1-2025)/5,IF(W$1&lt;=2035,$E58+($F58-$E58)*(W$1-2030)/5,$F58+($G58-$F58)*(W$1-2035)/5))</f>
        <v>0.9</v>
      </c>
    </row>
    <row r="59" customFormat="false" ht="15" hidden="false" customHeight="false" outlineLevel="0" collapsed="false">
      <c r="A59" s="0" t="s">
        <v>138</v>
      </c>
      <c r="B59" s="0" t="s">
        <v>18</v>
      </c>
      <c r="C59" s="0" t="n">
        <f aca="false">IFERROR(MATCH(A59&amp;"|"&amp;B59&amp;"|"&amp;Control!$B$3,Assumptions!$A$2:$A$112,0),MATCH(A59&amp;"|"&amp;B59&amp;"|All",Assumptions!$A$2:$A$112,0))</f>
        <v>105</v>
      </c>
      <c r="D59" s="0" t="n">
        <f aca="false">INDEX(Assumptions!$E$2:$E$112,$C59)</f>
        <v>0.15</v>
      </c>
      <c r="E59" s="0" t="n">
        <f aca="false">INDEX(Assumptions!$F$2:$F$112,$C59)</f>
        <v>0.35</v>
      </c>
      <c r="F59" s="0" t="n">
        <f aca="false">INDEX(Assumptions!$G$2:$G$112,$C59)</f>
        <v>0.55</v>
      </c>
      <c r="G59" s="0" t="n">
        <f aca="false">INDEX(Assumptions!$H$2:$H$112,$C59)</f>
        <v>0.7</v>
      </c>
      <c r="H59" s="0" t="n">
        <f aca="false">IF(H$1&lt;=2030,$D59+($E59-$D59)*(H$1-2025)/5,IF(H$1&lt;=2035,$E59+($F59-$E59)*(H$1-2030)/5,$F59+($G59-$F59)*(H$1-2035)/5))</f>
        <v>0.15</v>
      </c>
      <c r="I59" s="0" t="n">
        <f aca="false">IF(I$1&lt;=2030,$D59+($E59-$D59)*(I$1-2025)/5,IF(I$1&lt;=2035,$E59+($F59-$E59)*(I$1-2030)/5,$F59+($G59-$F59)*(I$1-2035)/5))</f>
        <v>0.19</v>
      </c>
      <c r="J59" s="0" t="n">
        <f aca="false">IF(J$1&lt;=2030,$D59+($E59-$D59)*(J$1-2025)/5,IF(J$1&lt;=2035,$E59+($F59-$E59)*(J$1-2030)/5,$F59+($G59-$F59)*(J$1-2035)/5))</f>
        <v>0.23</v>
      </c>
      <c r="K59" s="0" t="n">
        <f aca="false">IF(K$1&lt;=2030,$D59+($E59-$D59)*(K$1-2025)/5,IF(K$1&lt;=2035,$E59+($F59-$E59)*(K$1-2030)/5,$F59+($G59-$F59)*(K$1-2035)/5))</f>
        <v>0.27</v>
      </c>
      <c r="L59" s="0" t="n">
        <f aca="false">IF(L$1&lt;=2030,$D59+($E59-$D59)*(L$1-2025)/5,IF(L$1&lt;=2035,$E59+($F59-$E59)*(L$1-2030)/5,$F59+($G59-$F59)*(L$1-2035)/5))</f>
        <v>0.31</v>
      </c>
      <c r="M59" s="0" t="n">
        <f aca="false">IF(M$1&lt;=2030,$D59+($E59-$D59)*(M$1-2025)/5,IF(M$1&lt;=2035,$E59+($F59-$E59)*(M$1-2030)/5,$F59+($G59-$F59)*(M$1-2035)/5))</f>
        <v>0.35</v>
      </c>
      <c r="N59" s="0" t="n">
        <f aca="false">IF(N$1&lt;=2030,$D59+($E59-$D59)*(N$1-2025)/5,IF(N$1&lt;=2035,$E59+($F59-$E59)*(N$1-2030)/5,$F59+($G59-$F59)*(N$1-2035)/5))</f>
        <v>0.39</v>
      </c>
      <c r="O59" s="0" t="n">
        <f aca="false">IF(O$1&lt;=2030,$D59+($E59-$D59)*(O$1-2025)/5,IF(O$1&lt;=2035,$E59+($F59-$E59)*(O$1-2030)/5,$F59+($G59-$F59)*(O$1-2035)/5))</f>
        <v>0.43</v>
      </c>
      <c r="P59" s="0" t="n">
        <f aca="false">IF(P$1&lt;=2030,$D59+($E59-$D59)*(P$1-2025)/5,IF(P$1&lt;=2035,$E59+($F59-$E59)*(P$1-2030)/5,$F59+($G59-$F59)*(P$1-2035)/5))</f>
        <v>0.47</v>
      </c>
      <c r="Q59" s="0" t="n">
        <f aca="false">IF(Q$1&lt;=2030,$D59+($E59-$D59)*(Q$1-2025)/5,IF(Q$1&lt;=2035,$E59+($F59-$E59)*(Q$1-2030)/5,$F59+($G59-$F59)*(Q$1-2035)/5))</f>
        <v>0.51</v>
      </c>
      <c r="R59" s="0" t="n">
        <f aca="false">IF(R$1&lt;=2030,$D59+($E59-$D59)*(R$1-2025)/5,IF(R$1&lt;=2035,$E59+($F59-$E59)*(R$1-2030)/5,$F59+($G59-$F59)*(R$1-2035)/5))</f>
        <v>0.55</v>
      </c>
      <c r="S59" s="0" t="n">
        <f aca="false">IF(S$1&lt;=2030,$D59+($E59-$D59)*(S$1-2025)/5,IF(S$1&lt;=2035,$E59+($F59-$E59)*(S$1-2030)/5,$F59+($G59-$F59)*(S$1-2035)/5))</f>
        <v>0.58</v>
      </c>
      <c r="T59" s="0" t="n">
        <f aca="false">IF(T$1&lt;=2030,$D59+($E59-$D59)*(T$1-2025)/5,IF(T$1&lt;=2035,$E59+($F59-$E59)*(T$1-2030)/5,$F59+($G59-$F59)*(T$1-2035)/5))</f>
        <v>0.61</v>
      </c>
      <c r="U59" s="0" t="n">
        <f aca="false">IF(U$1&lt;=2030,$D59+($E59-$D59)*(U$1-2025)/5,IF(U$1&lt;=2035,$E59+($F59-$E59)*(U$1-2030)/5,$F59+($G59-$F59)*(U$1-2035)/5))</f>
        <v>0.64</v>
      </c>
      <c r="V59" s="0" t="n">
        <f aca="false">IF(V$1&lt;=2030,$D59+($E59-$D59)*(V$1-2025)/5,IF(V$1&lt;=2035,$E59+($F59-$E59)*(V$1-2030)/5,$F59+($G59-$F59)*(V$1-2035)/5))</f>
        <v>0.67</v>
      </c>
      <c r="W59" s="0" t="n">
        <f aca="false">IF(W$1&lt;=2030,$D59+($E59-$D59)*(W$1-2025)/5,IF(W$1&lt;=2035,$E59+($F59-$E59)*(W$1-2030)/5,$F59+($G59-$F59)*(W$1-2035)/5))</f>
        <v>0.7</v>
      </c>
    </row>
    <row r="60" customFormat="false" ht="15" hidden="false" customHeight="false" outlineLevel="0" collapsed="false">
      <c r="A60" s="0" t="s">
        <v>144</v>
      </c>
      <c r="B60" s="0" t="s">
        <v>24</v>
      </c>
      <c r="C60" s="0" t="n">
        <f aca="false">IFERROR(MATCH(A60&amp;"|"&amp;B60&amp;"|"&amp;Control!$B$3,Assumptions!$A$2:$A$112,0),MATCH(A60&amp;"|"&amp;B60&amp;"|All",Assumptions!$A$2:$A$112,0))</f>
        <v>108</v>
      </c>
      <c r="D60" s="0" t="n">
        <f aca="false">INDEX(Assumptions!$E$2:$E$112,$C60)</f>
        <v>0.8</v>
      </c>
      <c r="E60" s="0" t="n">
        <f aca="false">INDEX(Assumptions!$F$2:$F$112,$C60)</f>
        <v>0.9</v>
      </c>
      <c r="F60" s="0" t="n">
        <f aca="false">INDEX(Assumptions!$G$2:$G$112,$C60)</f>
        <v>0.92</v>
      </c>
      <c r="G60" s="0" t="n">
        <f aca="false">INDEX(Assumptions!$H$2:$H$112,$C60)</f>
        <v>0.92</v>
      </c>
      <c r="H60" s="0" t="n">
        <f aca="false">IF(H$1&lt;=2030,$D60+($E60-$D60)*(H$1-2025)/5,IF(H$1&lt;=2035,$E60+($F60-$E60)*(H$1-2030)/5,$F60+($G60-$F60)*(H$1-2035)/5))</f>
        <v>0.8</v>
      </c>
      <c r="I60" s="0" t="n">
        <f aca="false">IF(I$1&lt;=2030,$D60+($E60-$D60)*(I$1-2025)/5,IF(I$1&lt;=2035,$E60+($F60-$E60)*(I$1-2030)/5,$F60+($G60-$F60)*(I$1-2035)/5))</f>
        <v>0.82</v>
      </c>
      <c r="J60" s="0" t="n">
        <f aca="false">IF(J$1&lt;=2030,$D60+($E60-$D60)*(J$1-2025)/5,IF(J$1&lt;=2035,$E60+($F60-$E60)*(J$1-2030)/5,$F60+($G60-$F60)*(J$1-2035)/5))</f>
        <v>0.84</v>
      </c>
      <c r="K60" s="0" t="n">
        <f aca="false">IF(K$1&lt;=2030,$D60+($E60-$D60)*(K$1-2025)/5,IF(K$1&lt;=2035,$E60+($F60-$E60)*(K$1-2030)/5,$F60+($G60-$F60)*(K$1-2035)/5))</f>
        <v>0.86</v>
      </c>
      <c r="L60" s="0" t="n">
        <f aca="false">IF(L$1&lt;=2030,$D60+($E60-$D60)*(L$1-2025)/5,IF(L$1&lt;=2035,$E60+($F60-$E60)*(L$1-2030)/5,$F60+($G60-$F60)*(L$1-2035)/5))</f>
        <v>0.88</v>
      </c>
      <c r="M60" s="0" t="n">
        <f aca="false">IF(M$1&lt;=2030,$D60+($E60-$D60)*(M$1-2025)/5,IF(M$1&lt;=2035,$E60+($F60-$E60)*(M$1-2030)/5,$F60+($G60-$F60)*(M$1-2035)/5))</f>
        <v>0.9</v>
      </c>
      <c r="N60" s="0" t="n">
        <f aca="false">IF(N$1&lt;=2030,$D60+($E60-$D60)*(N$1-2025)/5,IF(N$1&lt;=2035,$E60+($F60-$E60)*(N$1-2030)/5,$F60+($G60-$F60)*(N$1-2035)/5))</f>
        <v>0.904</v>
      </c>
      <c r="O60" s="0" t="n">
        <f aca="false">IF(O$1&lt;=2030,$D60+($E60-$D60)*(O$1-2025)/5,IF(O$1&lt;=2035,$E60+($F60-$E60)*(O$1-2030)/5,$F60+($G60-$F60)*(O$1-2035)/5))</f>
        <v>0.908</v>
      </c>
      <c r="P60" s="0" t="n">
        <f aca="false">IF(P$1&lt;=2030,$D60+($E60-$D60)*(P$1-2025)/5,IF(P$1&lt;=2035,$E60+($F60-$E60)*(P$1-2030)/5,$F60+($G60-$F60)*(P$1-2035)/5))</f>
        <v>0.912</v>
      </c>
      <c r="Q60" s="0" t="n">
        <f aca="false">IF(Q$1&lt;=2030,$D60+($E60-$D60)*(Q$1-2025)/5,IF(Q$1&lt;=2035,$E60+($F60-$E60)*(Q$1-2030)/5,$F60+($G60-$F60)*(Q$1-2035)/5))</f>
        <v>0.916</v>
      </c>
      <c r="R60" s="0" t="n">
        <f aca="false">IF(R$1&lt;=2030,$D60+($E60-$D60)*(R$1-2025)/5,IF(R$1&lt;=2035,$E60+($F60-$E60)*(R$1-2030)/5,$F60+($G60-$F60)*(R$1-2035)/5))</f>
        <v>0.92</v>
      </c>
      <c r="S60" s="0" t="n">
        <f aca="false">IF(S$1&lt;=2030,$D60+($E60-$D60)*(S$1-2025)/5,IF(S$1&lt;=2035,$E60+($F60-$E60)*(S$1-2030)/5,$F60+($G60-$F60)*(S$1-2035)/5))</f>
        <v>0.92</v>
      </c>
      <c r="T60" s="0" t="n">
        <f aca="false">IF(T$1&lt;=2030,$D60+($E60-$D60)*(T$1-2025)/5,IF(T$1&lt;=2035,$E60+($F60-$E60)*(T$1-2030)/5,$F60+($G60-$F60)*(T$1-2035)/5))</f>
        <v>0.92</v>
      </c>
      <c r="U60" s="0" t="n">
        <f aca="false">IF(U$1&lt;=2030,$D60+($E60-$D60)*(U$1-2025)/5,IF(U$1&lt;=2035,$E60+($F60-$E60)*(U$1-2030)/5,$F60+($G60-$F60)*(U$1-2035)/5))</f>
        <v>0.92</v>
      </c>
      <c r="V60" s="0" t="n">
        <f aca="false">IF(V$1&lt;=2030,$D60+($E60-$D60)*(V$1-2025)/5,IF(V$1&lt;=2035,$E60+($F60-$E60)*(V$1-2030)/5,$F60+($G60-$F60)*(V$1-2035)/5))</f>
        <v>0.92</v>
      </c>
      <c r="W60" s="0" t="n">
        <f aca="false">IF(W$1&lt;=2030,$D60+($E60-$D60)*(W$1-2025)/5,IF(W$1&lt;=2035,$E60+($F60-$E60)*(W$1-2030)/5,$F60+($G60-$F60)*(W$1-2035)/5))</f>
        <v>0.92</v>
      </c>
    </row>
    <row r="61" customFormat="false" ht="15" hidden="false" customHeight="false" outlineLevel="0" collapsed="false">
      <c r="A61" s="0" t="s">
        <v>147</v>
      </c>
      <c r="B61" s="0" t="s">
        <v>126</v>
      </c>
      <c r="C61" s="0" t="n">
        <f aca="false">IFERROR(MATCH(A61&amp;"|"&amp;B61&amp;"|"&amp;Control!$B$3,Assumptions!$A$2:$A$112,0),MATCH(A61&amp;"|"&amp;B61&amp;"|All",Assumptions!$A$2:$A$112,0))</f>
        <v>110</v>
      </c>
      <c r="D61" s="0" t="n">
        <f aca="false">INDEX(Assumptions!$E$2:$E$112,$C61)</f>
        <v>1544000</v>
      </c>
      <c r="E61" s="0" t="n">
        <f aca="false">INDEX(Assumptions!$F$2:$F$112,$C61)</f>
        <v>2600000</v>
      </c>
      <c r="F61" s="0" t="n">
        <f aca="false">INDEX(Assumptions!$G$2:$G$112,$C61)</f>
        <v>3400000</v>
      </c>
      <c r="G61" s="0" t="n">
        <f aca="false">INDEX(Assumptions!$H$2:$H$112,$C61)</f>
        <v>4300000</v>
      </c>
      <c r="H61" s="0" t="n">
        <f aca="false">IF(H$1&lt;=2030,$D61+($E61-$D61)*(H$1-2025)/5,IF(H$1&lt;=2035,$E61+($F61-$E61)*(H$1-2030)/5,$F61+($G61-$F61)*(H$1-2035)/5))</f>
        <v>1544000</v>
      </c>
      <c r="I61" s="0" t="n">
        <f aca="false">IF(I$1&lt;=2030,$D61+($E61-$D61)*(I$1-2025)/5,IF(I$1&lt;=2035,$E61+($F61-$E61)*(I$1-2030)/5,$F61+($G61-$F61)*(I$1-2035)/5))</f>
        <v>1755200</v>
      </c>
      <c r="J61" s="0" t="n">
        <f aca="false">IF(J$1&lt;=2030,$D61+($E61-$D61)*(J$1-2025)/5,IF(J$1&lt;=2035,$E61+($F61-$E61)*(J$1-2030)/5,$F61+($G61-$F61)*(J$1-2035)/5))</f>
        <v>1966400</v>
      </c>
      <c r="K61" s="0" t="n">
        <f aca="false">IF(K$1&lt;=2030,$D61+($E61-$D61)*(K$1-2025)/5,IF(K$1&lt;=2035,$E61+($F61-$E61)*(K$1-2030)/5,$F61+($G61-$F61)*(K$1-2035)/5))</f>
        <v>2177600</v>
      </c>
      <c r="L61" s="0" t="n">
        <f aca="false">IF(L$1&lt;=2030,$D61+($E61-$D61)*(L$1-2025)/5,IF(L$1&lt;=2035,$E61+($F61-$E61)*(L$1-2030)/5,$F61+($G61-$F61)*(L$1-2035)/5))</f>
        <v>2388800</v>
      </c>
      <c r="M61" s="0" t="n">
        <f aca="false">IF(M$1&lt;=2030,$D61+($E61-$D61)*(M$1-2025)/5,IF(M$1&lt;=2035,$E61+($F61-$E61)*(M$1-2030)/5,$F61+($G61-$F61)*(M$1-2035)/5))</f>
        <v>2600000</v>
      </c>
      <c r="N61" s="0" t="n">
        <f aca="false">IF(N$1&lt;=2030,$D61+($E61-$D61)*(N$1-2025)/5,IF(N$1&lt;=2035,$E61+($F61-$E61)*(N$1-2030)/5,$F61+($G61-$F61)*(N$1-2035)/5))</f>
        <v>2760000</v>
      </c>
      <c r="O61" s="0" t="n">
        <f aca="false">IF(O$1&lt;=2030,$D61+($E61-$D61)*(O$1-2025)/5,IF(O$1&lt;=2035,$E61+($F61-$E61)*(O$1-2030)/5,$F61+($G61-$F61)*(O$1-2035)/5))</f>
        <v>2920000</v>
      </c>
      <c r="P61" s="0" t="n">
        <f aca="false">IF(P$1&lt;=2030,$D61+($E61-$D61)*(P$1-2025)/5,IF(P$1&lt;=2035,$E61+($F61-$E61)*(P$1-2030)/5,$F61+($G61-$F61)*(P$1-2035)/5))</f>
        <v>3080000</v>
      </c>
      <c r="Q61" s="0" t="n">
        <f aca="false">IF(Q$1&lt;=2030,$D61+($E61-$D61)*(Q$1-2025)/5,IF(Q$1&lt;=2035,$E61+($F61-$E61)*(Q$1-2030)/5,$F61+($G61-$F61)*(Q$1-2035)/5))</f>
        <v>3240000</v>
      </c>
      <c r="R61" s="0" t="n">
        <f aca="false">IF(R$1&lt;=2030,$D61+($E61-$D61)*(R$1-2025)/5,IF(R$1&lt;=2035,$E61+($F61-$E61)*(R$1-2030)/5,$F61+($G61-$F61)*(R$1-2035)/5))</f>
        <v>3400000</v>
      </c>
      <c r="S61" s="0" t="n">
        <f aca="false">IF(S$1&lt;=2030,$D61+($E61-$D61)*(S$1-2025)/5,IF(S$1&lt;=2035,$E61+($F61-$E61)*(S$1-2030)/5,$F61+($G61-$F61)*(S$1-2035)/5))</f>
        <v>3580000</v>
      </c>
      <c r="T61" s="0" t="n">
        <f aca="false">IF(T$1&lt;=2030,$D61+($E61-$D61)*(T$1-2025)/5,IF(T$1&lt;=2035,$E61+($F61-$E61)*(T$1-2030)/5,$F61+($G61-$F61)*(T$1-2035)/5))</f>
        <v>3760000</v>
      </c>
      <c r="U61" s="0" t="n">
        <f aca="false">IF(U$1&lt;=2030,$D61+($E61-$D61)*(U$1-2025)/5,IF(U$1&lt;=2035,$E61+($F61-$E61)*(U$1-2030)/5,$F61+($G61-$F61)*(U$1-2035)/5))</f>
        <v>3940000</v>
      </c>
      <c r="V61" s="0" t="n">
        <f aca="false">IF(V$1&lt;=2030,$D61+($E61-$D61)*(V$1-2025)/5,IF(V$1&lt;=2035,$E61+($F61-$E61)*(V$1-2030)/5,$F61+($G61-$F61)*(V$1-2035)/5))</f>
        <v>4120000</v>
      </c>
      <c r="W61" s="0" t="n">
        <f aca="false">IF(W$1&lt;=2030,$D61+($E61-$D61)*(W$1-2025)/5,IF(W$1&lt;=2035,$E61+($F61-$E61)*(W$1-2030)/5,$F61+($G61-$F61)*(W$1-2035)/5))</f>
        <v>4300000</v>
      </c>
    </row>
    <row r="62" customFormat="false" ht="15" hidden="false" customHeight="false" outlineLevel="0" collapsed="false">
      <c r="A62" s="0" t="s">
        <v>150</v>
      </c>
      <c r="B62" s="0" t="s">
        <v>126</v>
      </c>
      <c r="C62" s="0" t="n">
        <f aca="false">IFERROR(MATCH(A62&amp;"|"&amp;B62&amp;"|"&amp;Control!$B$3,Assumptions!$A$2:$A$112,0),MATCH(A62&amp;"|"&amp;B62&amp;"|All",Assumptions!$A$2:$A$112,0))</f>
        <v>111</v>
      </c>
      <c r="D62" s="0" t="n">
        <f aca="false">INDEX(Assumptions!$E$2:$E$112,$C62)</f>
        <v>0.03</v>
      </c>
      <c r="E62" s="0" t="n">
        <f aca="false">INDEX(Assumptions!$F$2:$F$112,$C62)</f>
        <v>0.03</v>
      </c>
      <c r="F62" s="0" t="n">
        <f aca="false">INDEX(Assumptions!$G$2:$G$112,$C62)</f>
        <v>0.03</v>
      </c>
      <c r="G62" s="0" t="n">
        <f aca="false">INDEX(Assumptions!$H$2:$H$112,$C62)</f>
        <v>0.03</v>
      </c>
      <c r="H62" s="0" t="n">
        <f aca="false">IF(H$1&lt;=2030,$D62+($E62-$D62)*(H$1-2025)/5,IF(H$1&lt;=2035,$E62+($F62-$E62)*(H$1-2030)/5,$F62+($G62-$F62)*(H$1-2035)/5))</f>
        <v>0.03</v>
      </c>
      <c r="I62" s="0" t="n">
        <f aca="false">IF(I$1&lt;=2030,$D62+($E62-$D62)*(I$1-2025)/5,IF(I$1&lt;=2035,$E62+($F62-$E62)*(I$1-2030)/5,$F62+($G62-$F62)*(I$1-2035)/5))</f>
        <v>0.03</v>
      </c>
      <c r="J62" s="0" t="n">
        <f aca="false">IF(J$1&lt;=2030,$D62+($E62-$D62)*(J$1-2025)/5,IF(J$1&lt;=2035,$E62+($F62-$E62)*(J$1-2030)/5,$F62+($G62-$F62)*(J$1-2035)/5))</f>
        <v>0.03</v>
      </c>
      <c r="K62" s="0" t="n">
        <f aca="false">IF(K$1&lt;=2030,$D62+($E62-$D62)*(K$1-2025)/5,IF(K$1&lt;=2035,$E62+($F62-$E62)*(K$1-2030)/5,$F62+($G62-$F62)*(K$1-2035)/5))</f>
        <v>0.03</v>
      </c>
      <c r="L62" s="0" t="n">
        <f aca="false">IF(L$1&lt;=2030,$D62+($E62-$D62)*(L$1-2025)/5,IF(L$1&lt;=2035,$E62+($F62-$E62)*(L$1-2030)/5,$F62+($G62-$F62)*(L$1-2035)/5))</f>
        <v>0.03</v>
      </c>
      <c r="M62" s="0" t="n">
        <f aca="false">IF(M$1&lt;=2030,$D62+($E62-$D62)*(M$1-2025)/5,IF(M$1&lt;=2035,$E62+($F62-$E62)*(M$1-2030)/5,$F62+($G62-$F62)*(M$1-2035)/5))</f>
        <v>0.03</v>
      </c>
      <c r="N62" s="0" t="n">
        <f aca="false">IF(N$1&lt;=2030,$D62+($E62-$D62)*(N$1-2025)/5,IF(N$1&lt;=2035,$E62+($F62-$E62)*(N$1-2030)/5,$F62+($G62-$F62)*(N$1-2035)/5))</f>
        <v>0.03</v>
      </c>
      <c r="O62" s="0" t="n">
        <f aca="false">IF(O$1&lt;=2030,$D62+($E62-$D62)*(O$1-2025)/5,IF(O$1&lt;=2035,$E62+($F62-$E62)*(O$1-2030)/5,$F62+($G62-$F62)*(O$1-2035)/5))</f>
        <v>0.03</v>
      </c>
      <c r="P62" s="0" t="n">
        <f aca="false">IF(P$1&lt;=2030,$D62+($E62-$D62)*(P$1-2025)/5,IF(P$1&lt;=2035,$E62+($F62-$E62)*(P$1-2030)/5,$F62+($G62-$F62)*(P$1-2035)/5))</f>
        <v>0.03</v>
      </c>
      <c r="Q62" s="0" t="n">
        <f aca="false">IF(Q$1&lt;=2030,$D62+($E62-$D62)*(Q$1-2025)/5,IF(Q$1&lt;=2035,$E62+($F62-$E62)*(Q$1-2030)/5,$F62+($G62-$F62)*(Q$1-2035)/5))</f>
        <v>0.03</v>
      </c>
      <c r="R62" s="0" t="n">
        <f aca="false">IF(R$1&lt;=2030,$D62+($E62-$D62)*(R$1-2025)/5,IF(R$1&lt;=2035,$E62+($F62-$E62)*(R$1-2030)/5,$F62+($G62-$F62)*(R$1-2035)/5))</f>
        <v>0.03</v>
      </c>
      <c r="S62" s="0" t="n">
        <f aca="false">IF(S$1&lt;=2030,$D62+($E62-$D62)*(S$1-2025)/5,IF(S$1&lt;=2035,$E62+($F62-$E62)*(S$1-2030)/5,$F62+($G62-$F62)*(S$1-2035)/5))</f>
        <v>0.03</v>
      </c>
      <c r="T62" s="0" t="n">
        <f aca="false">IF(T$1&lt;=2030,$D62+($E62-$D62)*(T$1-2025)/5,IF(T$1&lt;=2035,$E62+($F62-$E62)*(T$1-2030)/5,$F62+($G62-$F62)*(T$1-2035)/5))</f>
        <v>0.03</v>
      </c>
      <c r="U62" s="0" t="n">
        <f aca="false">IF(U$1&lt;=2030,$D62+($E62-$D62)*(U$1-2025)/5,IF(U$1&lt;=2035,$E62+($F62-$E62)*(U$1-2030)/5,$F62+($G62-$F62)*(U$1-2035)/5))</f>
        <v>0.03</v>
      </c>
      <c r="V62" s="0" t="n">
        <f aca="false">IF(V$1&lt;=2030,$D62+($E62-$D62)*(V$1-2025)/5,IF(V$1&lt;=2035,$E62+($F62-$E62)*(V$1-2030)/5,$F62+($G62-$F62)*(V$1-2035)/5))</f>
        <v>0.03</v>
      </c>
      <c r="W62" s="0" t="n">
        <f aca="false">IF(W$1&lt;=2030,$D62+($E62-$D62)*(W$1-2025)/5,IF(W$1&lt;=2035,$E62+($F62-$E62)*(W$1-2030)/5,$F62+($G62-$F62)*(W$1-2035)/5))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3" t="s">
        <v>158</v>
      </c>
    </row>
    <row r="2" customFormat="false" ht="15" hidden="false" customHeight="false" outlineLevel="0" collapsed="false">
      <c r="B2" s="13" t="n">
        <v>2013</v>
      </c>
      <c r="C2" s="13" t="n">
        <v>2014</v>
      </c>
      <c r="D2" s="13" t="n">
        <v>2015</v>
      </c>
      <c r="E2" s="13" t="n">
        <v>2016</v>
      </c>
      <c r="F2" s="13" t="n">
        <v>2017</v>
      </c>
      <c r="G2" s="13" t="n">
        <v>2018</v>
      </c>
      <c r="H2" s="13" t="n">
        <v>2019</v>
      </c>
      <c r="I2" s="13" t="n">
        <v>2020</v>
      </c>
      <c r="J2" s="13" t="n">
        <v>2021</v>
      </c>
      <c r="K2" s="13" t="n">
        <v>2022</v>
      </c>
      <c r="L2" s="13" t="n">
        <v>2023</v>
      </c>
      <c r="M2" s="13" t="n">
        <v>2024</v>
      </c>
    </row>
    <row r="3" customFormat="false" ht="15" hidden="false" customHeight="false" outlineLevel="0" collapsed="false">
      <c r="A3" s="0" t="s">
        <v>159</v>
      </c>
      <c r="B3" s="11" t="n">
        <v>5000</v>
      </c>
      <c r="C3" s="11" t="n">
        <v>10000</v>
      </c>
      <c r="D3" s="11" t="n">
        <v>20000</v>
      </c>
      <c r="E3" s="11" t="n">
        <v>25000</v>
      </c>
      <c r="F3" s="11" t="n">
        <v>30000</v>
      </c>
      <c r="G3" s="11" t="n">
        <v>50000</v>
      </c>
      <c r="H3" s="11" t="n">
        <v>100000</v>
      </c>
      <c r="I3" s="11" t="n">
        <v>100000</v>
      </c>
      <c r="J3" s="11" t="n">
        <v>230000</v>
      </c>
      <c r="K3" s="11" t="n">
        <v>630000</v>
      </c>
      <c r="L3" s="11" t="n">
        <v>860000</v>
      </c>
      <c r="M3" s="11" t="n">
        <v>1140000</v>
      </c>
    </row>
    <row r="4" customFormat="false" ht="15" hidden="false" customHeight="false" outlineLevel="0" collapsed="false">
      <c r="A4" s="0" t="s">
        <v>160</v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1000</v>
      </c>
      <c r="H4" s="11" t="n">
        <v>2000</v>
      </c>
      <c r="I4" s="11" t="n">
        <v>3000</v>
      </c>
      <c r="J4" s="11" t="n">
        <v>6000</v>
      </c>
      <c r="K4" s="11" t="n">
        <v>20000</v>
      </c>
      <c r="L4" s="11" t="n">
        <v>60000</v>
      </c>
      <c r="M4" s="11" t="n">
        <v>140000</v>
      </c>
    </row>
    <row r="5" customFormat="false" ht="15" hidden="false" customHeight="false" outlineLevel="0" collapsed="false">
      <c r="A5" s="0" t="s">
        <v>161</v>
      </c>
      <c r="B5" s="11" t="n">
        <v>50000</v>
      </c>
      <c r="C5" s="11" t="n">
        <v>80000</v>
      </c>
      <c r="D5" s="11" t="n">
        <v>120000</v>
      </c>
      <c r="E5" s="11" t="n">
        <v>180000</v>
      </c>
      <c r="F5" s="11" t="n">
        <v>250000</v>
      </c>
      <c r="G5" s="11" t="n">
        <v>300000</v>
      </c>
      <c r="H5" s="11" t="n">
        <v>350000</v>
      </c>
      <c r="I5" s="11" t="n">
        <v>250000</v>
      </c>
      <c r="J5" s="11" t="n">
        <v>300000</v>
      </c>
      <c r="K5" s="11" t="n">
        <v>380000</v>
      </c>
      <c r="L5" s="11" t="n">
        <v>480000</v>
      </c>
      <c r="M5" s="11" t="n">
        <v>520000</v>
      </c>
    </row>
    <row r="6" customFormat="false" ht="15" hidden="false" customHeight="false" outlineLevel="0" collapsed="false">
      <c r="A6" s="0" t="s">
        <v>162</v>
      </c>
      <c r="B6" s="11" t="n">
        <v>0</v>
      </c>
      <c r="C6" s="11" t="n">
        <v>0</v>
      </c>
      <c r="D6" s="11" t="n">
        <v>1000</v>
      </c>
      <c r="E6" s="11" t="n">
        <v>1000</v>
      </c>
      <c r="F6" s="11" t="n">
        <v>1500</v>
      </c>
      <c r="G6" s="11" t="n">
        <v>2000</v>
      </c>
      <c r="H6" s="11" t="n">
        <v>2000</v>
      </c>
      <c r="I6" s="11" t="n">
        <v>4000</v>
      </c>
      <c r="J6" s="11" t="n">
        <v>14000</v>
      </c>
      <c r="K6" s="11" t="n">
        <v>38000</v>
      </c>
      <c r="L6" s="11" t="n">
        <v>82000</v>
      </c>
      <c r="M6" s="11" t="n">
        <v>100000</v>
      </c>
    </row>
    <row r="7" customFormat="false" ht="15" hidden="false" customHeight="false" outlineLevel="0" collapsed="false">
      <c r="A7" s="0" t="s">
        <v>163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300</v>
      </c>
      <c r="H7" s="11" t="n">
        <v>600</v>
      </c>
      <c r="I7" s="11" t="n">
        <v>600</v>
      </c>
      <c r="J7" s="11" t="n">
        <v>1200</v>
      </c>
      <c r="K7" s="11" t="n">
        <v>2000</v>
      </c>
      <c r="L7" s="11" t="n">
        <v>3500</v>
      </c>
      <c r="M7" s="11" t="n">
        <v>4000</v>
      </c>
    </row>
    <row r="8" customFormat="false" ht="15" hidden="false" customHeight="false" outlineLevel="0" collapsed="false">
      <c r="A8" s="0" t="s">
        <v>164</v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1000</v>
      </c>
      <c r="L8" s="11" t="n">
        <v>3000</v>
      </c>
      <c r="M8" s="11" t="n">
        <v>6000</v>
      </c>
    </row>
    <row r="9" customFormat="false" ht="15" hidden="false" customHeight="false" outlineLevel="0" collapsed="false">
      <c r="A9" s="0" t="s">
        <v>165</v>
      </c>
      <c r="B9" s="11" t="n">
        <v>0.02</v>
      </c>
      <c r="C9" s="11" t="n">
        <v>0.02</v>
      </c>
      <c r="D9" s="11" t="n">
        <v>0.02</v>
      </c>
      <c r="E9" s="11" t="n">
        <v>0.02</v>
      </c>
      <c r="F9" s="11" t="n">
        <v>0.02</v>
      </c>
      <c r="G9" s="11" t="n">
        <v>0.02</v>
      </c>
      <c r="H9" s="11" t="n">
        <v>0.05</v>
      </c>
      <c r="I9" s="11" t="n">
        <v>0.05</v>
      </c>
      <c r="J9" s="11" t="n">
        <v>0.05</v>
      </c>
      <c r="K9" s="11" t="n">
        <v>0.1</v>
      </c>
      <c r="L9" s="11" t="n">
        <v>0.1</v>
      </c>
      <c r="M9" s="11" t="n">
        <v>0.15</v>
      </c>
    </row>
    <row r="10" customFormat="false" ht="15" hidden="false" customHeight="false" outlineLevel="0" collapsed="false">
      <c r="A10" s="0" t="s">
        <v>166</v>
      </c>
      <c r="B10" s="11" t="n">
        <v>0.02</v>
      </c>
      <c r="C10" s="11" t="n">
        <v>0.02</v>
      </c>
      <c r="D10" s="11" t="n">
        <v>0.02</v>
      </c>
      <c r="E10" s="11" t="n">
        <v>0.02</v>
      </c>
      <c r="F10" s="11" t="n">
        <v>0.02</v>
      </c>
      <c r="G10" s="11" t="n">
        <v>0.02</v>
      </c>
      <c r="H10" s="11" t="n">
        <v>0.02</v>
      </c>
      <c r="I10" s="11" t="n">
        <v>0.02</v>
      </c>
      <c r="J10" s="11" t="n">
        <v>0.05</v>
      </c>
      <c r="K10" s="11" t="n">
        <v>0.1</v>
      </c>
      <c r="L10" s="11" t="n">
        <v>0.3</v>
      </c>
      <c r="M10" s="11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1" max="15" min="4" style="0" width="10"/>
    <col collapsed="false" customWidth="true" hidden="false" outlineLevel="0" max="31" min="16" style="0" width="10"/>
  </cols>
  <sheetData>
    <row r="1" customFormat="false" ht="15" hidden="false" customHeight="false" outlineLevel="0" collapsed="false">
      <c r="A1" s="13" t="s">
        <v>167</v>
      </c>
    </row>
    <row r="2" customFormat="false" ht="15" hidden="false" customHeight="false" outlineLevel="0" collapsed="false">
      <c r="A2" s="13" t="s">
        <v>168</v>
      </c>
      <c r="B2" s="13" t="s">
        <v>36</v>
      </c>
      <c r="C2" s="13" t="s">
        <v>169</v>
      </c>
      <c r="D2" s="10" t="n">
        <v>2013</v>
      </c>
      <c r="E2" s="10" t="n">
        <v>2014</v>
      </c>
      <c r="F2" s="10" t="n">
        <v>2015</v>
      </c>
      <c r="G2" s="10" t="n">
        <v>2016</v>
      </c>
      <c r="H2" s="10" t="n">
        <v>2017</v>
      </c>
      <c r="I2" s="10" t="n">
        <v>2018</v>
      </c>
      <c r="J2" s="10" t="n">
        <v>2019</v>
      </c>
      <c r="K2" s="10" t="n">
        <v>2020</v>
      </c>
      <c r="L2" s="10" t="n">
        <v>2021</v>
      </c>
      <c r="M2" s="10" t="n">
        <v>2022</v>
      </c>
      <c r="N2" s="10" t="n">
        <v>2023</v>
      </c>
      <c r="O2" s="10" t="n">
        <v>2024</v>
      </c>
      <c r="P2" s="13" t="n">
        <v>2025</v>
      </c>
      <c r="Q2" s="13" t="n">
        <v>2026</v>
      </c>
      <c r="R2" s="13" t="n">
        <v>2027</v>
      </c>
      <c r="S2" s="13" t="n">
        <v>2028</v>
      </c>
      <c r="T2" s="13" t="n">
        <v>2029</v>
      </c>
      <c r="U2" s="13" t="n">
        <v>2030</v>
      </c>
      <c r="V2" s="13" t="n">
        <v>2031</v>
      </c>
      <c r="W2" s="13" t="n">
        <v>2032</v>
      </c>
      <c r="X2" s="13" t="n">
        <v>2033</v>
      </c>
      <c r="Y2" s="13" t="n">
        <v>2034</v>
      </c>
      <c r="Z2" s="13" t="n">
        <v>2035</v>
      </c>
      <c r="AA2" s="13" t="n">
        <v>2036</v>
      </c>
      <c r="AB2" s="13" t="n">
        <v>2037</v>
      </c>
      <c r="AC2" s="13" t="n">
        <v>2038</v>
      </c>
      <c r="AD2" s="13" t="n">
        <v>2039</v>
      </c>
      <c r="AE2" s="13" t="n">
        <v>2040</v>
      </c>
      <c r="AG2" s="12" t="s">
        <v>170</v>
      </c>
    </row>
    <row r="3" customFormat="false" ht="15" hidden="false" customHeight="false" outlineLevel="0" collapsed="false">
      <c r="A3" s="0" t="s">
        <v>171</v>
      </c>
      <c r="B3" s="0" t="s">
        <v>172</v>
      </c>
      <c r="C3" s="0" t="s">
        <v>173</v>
      </c>
      <c r="P3" s="14" t="n">
        <f aca="false">IF(Control!$B$7,IF(2025&lt;=2030,0.15*(2025-2025)/5,IF(2025&lt;=2035,0.15+0.15*(2025-2030)/5,0.3+0.1*(2025-2035)/5)),0)</f>
        <v>0</v>
      </c>
      <c r="Q3" s="14" t="n">
        <f aca="false">IF(Control!$B$7,IF(2026&lt;=2030,0.15*(2026-2025)/5,IF(2026&lt;=2035,0.15+0.15*(2026-2030)/5,0.3+0.1*(2026-2035)/5)),0)</f>
        <v>0</v>
      </c>
      <c r="R3" s="14" t="n">
        <f aca="false">IF(Control!$B$7,IF(2027&lt;=2030,0.15*(2027-2025)/5,IF(2027&lt;=2035,0.15+0.15*(2027-2030)/5,0.3+0.1*(2027-2035)/5)),0)</f>
        <v>0</v>
      </c>
      <c r="S3" s="14" t="n">
        <f aca="false">IF(Control!$B$7,IF(2028&lt;=2030,0.15*(2028-2025)/5,IF(2028&lt;=2035,0.15+0.15*(2028-2030)/5,0.3+0.1*(2028-2035)/5)),0)</f>
        <v>0</v>
      </c>
      <c r="T3" s="14" t="n">
        <f aca="false">IF(Control!$B$7,IF(2029&lt;=2030,0.15*(2029-2025)/5,IF(2029&lt;=2035,0.15+0.15*(2029-2030)/5,0.3+0.1*(2029-2035)/5)),0)</f>
        <v>0</v>
      </c>
      <c r="U3" s="14" t="n">
        <f aca="false">IF(Control!$B$7,IF(2030&lt;=2030,0.15*(2030-2025)/5,IF(2030&lt;=2035,0.15+0.15*(2030-2030)/5,0.3+0.1*(2030-2035)/5)),0)</f>
        <v>0</v>
      </c>
      <c r="V3" s="14" t="n">
        <f aca="false">IF(Control!$B$7,IF(2031&lt;=2030,0.15*(2031-2025)/5,IF(2031&lt;=2035,0.15+0.15*(2031-2030)/5,0.3+0.1*(2031-2035)/5)),0)</f>
        <v>0</v>
      </c>
      <c r="W3" s="14" t="n">
        <f aca="false">IF(Control!$B$7,IF(2032&lt;=2030,0.15*(2032-2025)/5,IF(2032&lt;=2035,0.15+0.15*(2032-2030)/5,0.3+0.1*(2032-2035)/5)),0)</f>
        <v>0</v>
      </c>
      <c r="X3" s="14" t="n">
        <f aca="false">IF(Control!$B$7,IF(2033&lt;=2030,0.15*(2033-2025)/5,IF(2033&lt;=2035,0.15+0.15*(2033-2030)/5,0.3+0.1*(2033-2035)/5)),0)</f>
        <v>0</v>
      </c>
      <c r="Y3" s="14" t="n">
        <f aca="false">IF(Control!$B$7,IF(2034&lt;=2030,0.15*(2034-2025)/5,IF(2034&lt;=2035,0.15+0.15*(2034-2030)/5,0.3+0.1*(2034-2035)/5)),0)</f>
        <v>0</v>
      </c>
      <c r="Z3" s="14" t="n">
        <f aca="false">IF(Control!$B$7,IF(2035&lt;=2030,0.15*(2035-2025)/5,IF(2035&lt;=2035,0.15+0.15*(2035-2030)/5,0.3+0.1*(2035-2035)/5)),0)</f>
        <v>0</v>
      </c>
      <c r="AA3" s="14" t="n">
        <f aca="false">IF(Control!$B$7,IF(2036&lt;=2030,0.15*(2036-2025)/5,IF(2036&lt;=2035,0.15+0.15*(2036-2030)/5,0.3+0.1*(2036-2035)/5)),0)</f>
        <v>0</v>
      </c>
      <c r="AB3" s="14" t="n">
        <f aca="false">IF(Control!$B$7,IF(2037&lt;=2030,0.15*(2037-2025)/5,IF(2037&lt;=2035,0.15+0.15*(2037-2030)/5,0.3+0.1*(2037-2035)/5)),0)</f>
        <v>0</v>
      </c>
      <c r="AC3" s="14" t="n">
        <f aca="false">IF(Control!$B$7,IF(2038&lt;=2030,0.15*(2038-2025)/5,IF(2038&lt;=2035,0.15+0.15*(2038-2030)/5,0.3+0.1*(2038-2035)/5)),0)</f>
        <v>0</v>
      </c>
      <c r="AD3" s="14" t="n">
        <f aca="false">IF(Control!$B$7,IF(2039&lt;=2030,0.15*(2039-2025)/5,IF(2039&lt;=2035,0.15+0.15*(2039-2030)/5,0.3+0.1*(2039-2035)/5)),0)</f>
        <v>0</v>
      </c>
      <c r="AE3" s="14" t="n">
        <f aca="false">IF(Control!$B$7,IF(2040&lt;=2030,0.15*(2040-2025)/5,IF(2040&lt;=2035,0.15+0.15*(2040-2030)/5,0.3+0.1*(2040-2035)/5)),0)</f>
        <v>0</v>
      </c>
      <c r="AG3" s="12" t="s">
        <v>174</v>
      </c>
      <c r="AH3" s="11" t="n">
        <v>0.5102</v>
      </c>
    </row>
    <row r="4" customFormat="false" ht="15" hidden="false" customHeight="false" outlineLevel="0" collapsed="false">
      <c r="AG4" s="0" t="s">
        <v>175</v>
      </c>
      <c r="AH4" s="11" t="n">
        <v>0.5852</v>
      </c>
    </row>
    <row r="5" customFormat="false" ht="15" hidden="false" customHeight="false" outlineLevel="0" collapsed="false">
      <c r="A5" s="0" t="s">
        <v>176</v>
      </c>
      <c r="B5" s="0" t="s">
        <v>46</v>
      </c>
      <c r="C5" s="0" t="s">
        <v>85</v>
      </c>
      <c r="D5" s="7" t="n">
        <f aca="false">History!$B$3</f>
        <v>5000</v>
      </c>
      <c r="E5" s="7" t="n">
        <f aca="false">History!$C$3</f>
        <v>10000</v>
      </c>
      <c r="F5" s="7" t="n">
        <f aca="false">History!$D$3</f>
        <v>20000</v>
      </c>
      <c r="G5" s="7" t="n">
        <f aca="false">History!$E$3</f>
        <v>25000</v>
      </c>
      <c r="H5" s="7" t="n">
        <f aca="false">History!$F$3</f>
        <v>30000</v>
      </c>
      <c r="I5" s="7" t="n">
        <f aca="false">History!$G$3</f>
        <v>50000</v>
      </c>
      <c r="J5" s="7" t="n">
        <f aca="false">History!$H$3</f>
        <v>100000</v>
      </c>
      <c r="K5" s="7" t="n">
        <f aca="false">History!$I$3</f>
        <v>100000</v>
      </c>
      <c r="L5" s="7" t="n">
        <f aca="false">History!$J$3</f>
        <v>230000</v>
      </c>
      <c r="M5" s="7" t="n">
        <f aca="false">History!$K$3</f>
        <v>630000</v>
      </c>
      <c r="N5" s="7" t="n">
        <f aca="false">History!$L$3</f>
        <v>860000</v>
      </c>
      <c r="O5" s="7" t="n">
        <f aca="false">History!$M$3</f>
        <v>1140000</v>
      </c>
      <c r="P5" s="7" t="n">
        <f aca="false">Inputs!$H$2*Inputs!$H$8</f>
        <v>1562574</v>
      </c>
      <c r="Q5" s="7" t="n">
        <f aca="false">Inputs!$I$2*Inputs!$I$8</f>
        <v>2558287.48189571</v>
      </c>
      <c r="R5" s="7" t="n">
        <f aca="false">Inputs!$J$2*Inputs!$J$8</f>
        <v>3631083.05065695</v>
      </c>
      <c r="S5" s="7" t="n">
        <f aca="false">Inputs!$K$2*Inputs!$K$8</f>
        <v>4780960.7062837</v>
      </c>
      <c r="T5" s="7" t="n">
        <f aca="false">Inputs!$L$2*Inputs!$L$8</f>
        <v>6007920.44877597</v>
      </c>
      <c r="U5" s="7" t="n">
        <f aca="false">Inputs!$M$2*Inputs!$M$8</f>
        <v>7311962.27813376</v>
      </c>
      <c r="V5" s="7" t="n">
        <f aca="false">Inputs!$N$2*Inputs!$N$8</f>
        <v>8900259.48944202</v>
      </c>
      <c r="W5" s="7" t="n">
        <f aca="false">Inputs!$O$2*Inputs!$O$8</f>
        <v>10594167.2240701</v>
      </c>
      <c r="X5" s="7" t="n">
        <f aca="false">Inputs!$P$2*Inputs!$P$8</f>
        <v>12393685.4820179</v>
      </c>
      <c r="Y5" s="7" t="n">
        <f aca="false">Inputs!$Q$2*Inputs!$Q$8</f>
        <v>14298814.2632856</v>
      </c>
      <c r="Z5" s="7" t="n">
        <f aca="false">Inputs!$R$2*Inputs!$R$8</f>
        <v>16309553.5678731</v>
      </c>
      <c r="AA5" s="7" t="n">
        <f aca="false">Inputs!$S$2*Inputs!$S$8</f>
        <v>18253801.8816178</v>
      </c>
      <c r="AB5" s="7" t="n">
        <f aca="false">Inputs!$T$2*Inputs!$T$8</f>
        <v>20300843.2751394</v>
      </c>
      <c r="AC5" s="7" t="n">
        <f aca="false">Inputs!$U$2*Inputs!$U$8</f>
        <v>22450677.7484378</v>
      </c>
      <c r="AD5" s="7" t="n">
        <f aca="false">Inputs!$V$2*Inputs!$V$8</f>
        <v>24703305.301513</v>
      </c>
      <c r="AE5" s="7" t="n">
        <f aca="false">Inputs!$W$2*Inputs!$W$8</f>
        <v>27058725.934365</v>
      </c>
      <c r="AG5" s="12" t="s">
        <v>177</v>
      </c>
      <c r="AH5" s="11" t="n">
        <v>0.659</v>
      </c>
    </row>
    <row r="6" customFormat="false" ht="15" hidden="false" customHeight="false" outlineLevel="0" collapsed="false">
      <c r="A6" s="0" t="s">
        <v>176</v>
      </c>
      <c r="B6" s="0" t="s">
        <v>46</v>
      </c>
      <c r="C6" s="0" t="s">
        <v>178</v>
      </c>
      <c r="D6" s="15" t="n">
        <f aca="false">D5*1*Inputs!$H$20*0.9/1000000</f>
        <v>0.0126</v>
      </c>
      <c r="E6" s="15" t="n">
        <f aca="false">E5*1*Inputs!$H$20*0.9/1000000</f>
        <v>0.0252</v>
      </c>
      <c r="F6" s="15" t="n">
        <f aca="false">F5*1*Inputs!$H$20*0.9/1000000</f>
        <v>0.0504</v>
      </c>
      <c r="G6" s="15" t="n">
        <f aca="false">G5*1*Inputs!$H$20*0.9/1000000</f>
        <v>0.063</v>
      </c>
      <c r="H6" s="15" t="n">
        <f aca="false">H5*1*Inputs!$H$20*0.9/1000000</f>
        <v>0.0756</v>
      </c>
      <c r="I6" s="15" t="n">
        <f aca="false">I5*1*Inputs!$H$20*0.9/1000000</f>
        <v>0.126</v>
      </c>
      <c r="J6" s="15" t="n">
        <f aca="false">J5*1*Inputs!$H$20*0.9/1000000</f>
        <v>0.252</v>
      </c>
      <c r="K6" s="15" t="n">
        <f aca="false">K5*1*Inputs!$H$20*0.9/1000000</f>
        <v>0.252</v>
      </c>
      <c r="L6" s="15" t="n">
        <f aca="false">L5*1*Inputs!$H$20*0.9/1000000</f>
        <v>0.5796</v>
      </c>
      <c r="M6" s="15" t="n">
        <f aca="false">M5*1*Inputs!$H$20*0.9/1000000</f>
        <v>1.5876</v>
      </c>
      <c r="N6" s="15" t="n">
        <f aca="false">N5*1*Inputs!$H$20*0.9/1000000</f>
        <v>2.1672</v>
      </c>
      <c r="O6" s="15" t="n">
        <f aca="false">O5*1*Inputs!$H$20*0.9/1000000</f>
        <v>2.8728</v>
      </c>
      <c r="P6" s="15" t="n">
        <f aca="false">P5*Inputs!$H$15*Inputs!$H$20/1000000</f>
        <v>4.3752072</v>
      </c>
      <c r="Q6" s="15" t="n">
        <f aca="false">Q5*Inputs!$I$15*Inputs!$I$20/1000000</f>
        <v>7.36786794785966</v>
      </c>
      <c r="R6" s="15" t="n">
        <f aca="false">R5*Inputs!$J$15*Inputs!$J$20/1000000</f>
        <v>10.7480058299446</v>
      </c>
      <c r="S6" s="15" t="n">
        <f aca="false">S5*Inputs!$K$15*Inputs!$K$20/1000000</f>
        <v>14.5341205471024</v>
      </c>
      <c r="T6" s="15" t="n">
        <f aca="false">T5*Inputs!$L$15*Inputs!$L$20/1000000</f>
        <v>18.744711800181</v>
      </c>
      <c r="U6" s="15" t="n">
        <f aca="false">U5*Inputs!$M$15*Inputs!$M$20/1000000</f>
        <v>23.398279290028</v>
      </c>
      <c r="V6" s="15" t="n">
        <f aca="false">V5*Inputs!$N$15*Inputs!$N$20/1000000</f>
        <v>29.014845935581</v>
      </c>
      <c r="W6" s="15" t="n">
        <f aca="false">W5*Inputs!$O$15*Inputs!$O$20/1000000</f>
        <v>35.1726351839127</v>
      </c>
      <c r="X6" s="15" t="n">
        <f aca="false">X5*Inputs!$P$15*Inputs!$P$20/1000000</f>
        <v>41.8906569292206</v>
      </c>
      <c r="Y6" s="15" t="n">
        <f aca="false">Y5*Inputs!$Q$15*Inputs!$Q$20/1000000</f>
        <v>49.1879210657025</v>
      </c>
      <c r="Z6" s="15" t="n">
        <f aca="false">Z5*Inputs!$R$15*Inputs!$R$20/1000000</f>
        <v>57.0834374875557</v>
      </c>
      <c r="AA6" s="15" t="n">
        <f aca="false">AA5*Inputs!$S$15*Inputs!$S$20/1000000</f>
        <v>64.9835346985595</v>
      </c>
      <c r="AB6" s="15" t="n">
        <f aca="false">AB5*Inputs!$T$15*Inputs!$T$20/1000000</f>
        <v>73.4890526560047</v>
      </c>
      <c r="AC6" s="15" t="n">
        <f aca="false">AC5*Inputs!$U$15*Inputs!$U$20/1000000</f>
        <v>82.6184941142511</v>
      </c>
      <c r="AD6" s="15" t="n">
        <f aca="false">AD5*Inputs!$V$15*Inputs!$V$20/1000000</f>
        <v>92.3903618276587</v>
      </c>
      <c r="AE6" s="15" t="n">
        <f aca="false">AE5*Inputs!$W$15*Inputs!$W$20/1000000</f>
        <v>102.823158550587</v>
      </c>
    </row>
    <row r="7" customFormat="false" ht="15" hidden="false" customHeight="false" outlineLevel="0" collapsed="false">
      <c r="A7" s="0" t="s">
        <v>176</v>
      </c>
      <c r="B7" s="0" t="s">
        <v>46</v>
      </c>
      <c r="C7" s="0" t="s">
        <v>179</v>
      </c>
      <c r="D7" s="16" t="n">
        <f aca="false">P7</f>
        <v>0.5402</v>
      </c>
      <c r="E7" s="16" t="n">
        <f aca="false">P7</f>
        <v>0.5402</v>
      </c>
      <c r="F7" s="16" t="n">
        <f aca="false">P7</f>
        <v>0.5402</v>
      </c>
      <c r="G7" s="16" t="n">
        <f aca="false">P7</f>
        <v>0.5402</v>
      </c>
      <c r="H7" s="16" t="n">
        <f aca="false">P7</f>
        <v>0.5402</v>
      </c>
      <c r="I7" s="16" t="n">
        <f aca="false">P7</f>
        <v>0.5402</v>
      </c>
      <c r="J7" s="16" t="n">
        <f aca="false">P7</f>
        <v>0.5402</v>
      </c>
      <c r="K7" s="16" t="n">
        <f aca="false">P7</f>
        <v>0.5402</v>
      </c>
      <c r="L7" s="16" t="n">
        <f aca="false">P7</f>
        <v>0.5402</v>
      </c>
      <c r="M7" s="16" t="n">
        <f aca="false">P7</f>
        <v>0.5402</v>
      </c>
      <c r="N7" s="16" t="n">
        <f aca="false">P7</f>
        <v>0.5402</v>
      </c>
      <c r="O7" s="16" t="n">
        <f aca="false">P7</f>
        <v>0.5402</v>
      </c>
      <c r="P7" s="16" t="n">
        <f aca="false">(1-MIN(0.8,Inputs!$H$33+P3))*(Inputs!$H$26*$AH$3+(1-Inputs!$H$26)*$AH$4)</f>
        <v>0.5402</v>
      </c>
      <c r="Q7" s="16" t="n">
        <f aca="false">(1-MIN(0.8,Inputs!$I$33+Q3))*(Inputs!$I$26*$AH$3+(1-Inputs!$I$26)*$AH$4)</f>
        <v>0.5354678</v>
      </c>
      <c r="R7" s="16" t="n">
        <f aca="false">(1-MIN(0.8,Inputs!$J$33+R3))*(Inputs!$J$26*$AH$3+(1-Inputs!$J$26)*$AH$4)</f>
        <v>0.5307536</v>
      </c>
      <c r="S7" s="16" t="n">
        <f aca="false">(1-MIN(0.8,Inputs!$K$33+S3))*(Inputs!$K$26*$AH$3+(1-Inputs!$K$26)*$AH$4)</f>
        <v>0.5260574</v>
      </c>
      <c r="T7" s="16" t="n">
        <f aca="false">(1-MIN(0.8,Inputs!$L$33+T3))*(Inputs!$L$26*$AH$3+(1-Inputs!$L$26)*$AH$4)</f>
        <v>0.5213792</v>
      </c>
      <c r="U7" s="16" t="n">
        <f aca="false">(1-MIN(0.8,Inputs!$M$33+U3))*(Inputs!$M$26*$AH$3+(1-Inputs!$M$26)*$AH$4)</f>
        <v>0.516719</v>
      </c>
      <c r="V7" s="16" t="n">
        <f aca="false">(1-MIN(0.8,Inputs!$N$33+V3))*(Inputs!$N$26*$AH$3+(1-Inputs!$N$26)*$AH$4)</f>
        <v>0.510672</v>
      </c>
      <c r="W7" s="16" t="n">
        <f aca="false">(1-MIN(0.8,Inputs!$O$33+W3))*(Inputs!$O$26*$AH$3+(1-Inputs!$O$26)*$AH$4)</f>
        <v>0.50464</v>
      </c>
      <c r="X7" s="16" t="n">
        <f aca="false">(1-MIN(0.8,Inputs!$P$33+X3))*(Inputs!$P$26*$AH$3+(1-Inputs!$P$26)*$AH$4)</f>
        <v>0.498623</v>
      </c>
      <c r="Y7" s="16" t="n">
        <f aca="false">(1-MIN(0.8,Inputs!$Q$33+Y3))*(Inputs!$Q$26*$AH$3+(1-Inputs!$Q$26)*$AH$4)</f>
        <v>0.492621</v>
      </c>
      <c r="Z7" s="16" t="n">
        <f aca="false">(1-MIN(0.8,Inputs!$R$33+Z3))*(Inputs!$R$26*$AH$3+(1-Inputs!$R$26)*$AH$4)</f>
        <v>0.486634</v>
      </c>
      <c r="AA7" s="16" t="n">
        <f aca="false">(1-MIN(0.8,Inputs!$S$33+AA3))*(Inputs!$S$26*$AH$3+(1-Inputs!$S$26)*$AH$4)</f>
        <v>0.4817184</v>
      </c>
      <c r="AB7" s="16" t="n">
        <f aca="false">(1-MIN(0.8,Inputs!$T$33+AB3))*(Inputs!$T$26*$AH$3+(1-Inputs!$T$26)*$AH$4)</f>
        <v>0.4768148</v>
      </c>
      <c r="AC7" s="16" t="n">
        <f aca="false">(1-MIN(0.8,Inputs!$U$33+AC3))*(Inputs!$U$26*$AH$3+(1-Inputs!$U$26)*$AH$4)</f>
        <v>0.4719232</v>
      </c>
      <c r="AD7" s="16" t="n">
        <f aca="false">(1-MIN(0.8,Inputs!$V$33+AD3))*(Inputs!$V$26*$AH$3+(1-Inputs!$V$26)*$AH$4)</f>
        <v>0.4670436</v>
      </c>
      <c r="AE7" s="16" t="n">
        <f aca="false">(1-MIN(0.8,Inputs!$W$33+AE3))*(Inputs!$W$26*$AH$3+(1-Inputs!$W$26)*$AH$4)</f>
        <v>0.462176</v>
      </c>
      <c r="AG7" s="12" t="s">
        <v>180</v>
      </c>
    </row>
    <row r="8" customFormat="false" ht="15" hidden="false" customHeight="false" outlineLevel="0" collapsed="false">
      <c r="A8" s="0" t="s">
        <v>176</v>
      </c>
      <c r="B8" s="0" t="s">
        <v>46</v>
      </c>
      <c r="C8" s="0" t="s">
        <v>114</v>
      </c>
      <c r="D8" s="7" t="n">
        <f aca="false">D6*D7*1000</f>
        <v>6.80652</v>
      </c>
      <c r="E8" s="7" t="n">
        <f aca="false">E6*E7*1000</f>
        <v>13.61304</v>
      </c>
      <c r="F8" s="7" t="n">
        <f aca="false">F6*F7*1000</f>
        <v>27.22608</v>
      </c>
      <c r="G8" s="7" t="n">
        <f aca="false">G6*G7*1000</f>
        <v>34.0326</v>
      </c>
      <c r="H8" s="7" t="n">
        <f aca="false">H6*H7*1000</f>
        <v>40.83912</v>
      </c>
      <c r="I8" s="7" t="n">
        <f aca="false">I6*I7*1000</f>
        <v>68.0652</v>
      </c>
      <c r="J8" s="7" t="n">
        <f aca="false">J6*J7*1000</f>
        <v>136.1304</v>
      </c>
      <c r="K8" s="7" t="n">
        <f aca="false">K6*K7*1000</f>
        <v>136.1304</v>
      </c>
      <c r="L8" s="7" t="n">
        <f aca="false">L6*L7*1000</f>
        <v>313.09992</v>
      </c>
      <c r="M8" s="7" t="n">
        <f aca="false">M6*M7*1000</f>
        <v>857.62152</v>
      </c>
      <c r="N8" s="7" t="n">
        <f aca="false">N6*N7*1000</f>
        <v>1170.72144</v>
      </c>
      <c r="O8" s="7" t="n">
        <f aca="false">O6*O7*1000</f>
        <v>1551.88656</v>
      </c>
      <c r="P8" s="7" t="n">
        <f aca="false">P6*P7*1000</f>
        <v>2363.48692944</v>
      </c>
      <c r="Q8" s="7" t="n">
        <f aca="false">Q6*Q7*1000</f>
        <v>3945.25604073093</v>
      </c>
      <c r="R8" s="7" t="n">
        <f aca="false">R6*R7*1000</f>
        <v>5704.54278706407</v>
      </c>
      <c r="S8" s="7" t="n">
        <f aca="false">S6*S7*1000</f>
        <v>7645.78166629529</v>
      </c>
      <c r="T8" s="7" t="n">
        <f aca="false">T6*T7*1000</f>
        <v>9773.10284260894</v>
      </c>
      <c r="U8" s="7" t="n">
        <f aca="false">U6*U7*1000</f>
        <v>12090.335476464</v>
      </c>
      <c r="V8" s="7" t="n">
        <f aca="false">V6*V7*1000</f>
        <v>14817.069403615</v>
      </c>
      <c r="W8" s="7" t="n">
        <f aca="false">W6*W7*1000</f>
        <v>17749.5186192097</v>
      </c>
      <c r="X8" s="7" t="n">
        <f aca="false">X6*X7*1000</f>
        <v>20887.6450300188</v>
      </c>
      <c r="Y8" s="7" t="n">
        <f aca="false">Y6*Y7*1000</f>
        <v>24231.0028633074</v>
      </c>
      <c r="Z8" s="7" t="n">
        <f aca="false">Z6*Z7*1000</f>
        <v>27778.7415183192</v>
      </c>
      <c r="AA8" s="7" t="n">
        <f aca="false">AA6*AA7*1000</f>
        <v>31303.7643613346</v>
      </c>
      <c r="AB8" s="7" t="n">
        <f aca="false">AB6*AB7*1000</f>
        <v>35040.6679443623</v>
      </c>
      <c r="AC8" s="7" t="n">
        <f aca="false">AC6*AC7*1000</f>
        <v>38989.5841215786</v>
      </c>
      <c r="AD8" s="7" t="n">
        <f aca="false">AD6*AD7*1000</f>
        <v>43150.3271932923</v>
      </c>
      <c r="AE8" s="7" t="n">
        <f aca="false">AE6*AE7*1000</f>
        <v>47522.3961262762</v>
      </c>
    </row>
    <row r="10" customFormat="false" ht="15" hidden="false" customHeight="false" outlineLevel="0" collapsed="false">
      <c r="A10" s="0" t="s">
        <v>181</v>
      </c>
      <c r="B10" s="0" t="s">
        <v>51</v>
      </c>
      <c r="C10" s="0" t="s">
        <v>85</v>
      </c>
      <c r="D10" s="7" t="n">
        <f aca="false">History!$B$4</f>
        <v>0</v>
      </c>
      <c r="E10" s="7" t="n">
        <f aca="false">History!$C$4</f>
        <v>0</v>
      </c>
      <c r="F10" s="7" t="n">
        <f aca="false">History!$D$4</f>
        <v>0</v>
      </c>
      <c r="G10" s="7" t="n">
        <f aca="false">History!$E$4</f>
        <v>0</v>
      </c>
      <c r="H10" s="7" t="n">
        <f aca="false">History!$F$4</f>
        <v>0</v>
      </c>
      <c r="I10" s="7" t="n">
        <f aca="false">History!$G$4</f>
        <v>1000</v>
      </c>
      <c r="J10" s="7" t="n">
        <f aca="false">History!$H$4</f>
        <v>2000</v>
      </c>
      <c r="K10" s="7" t="n">
        <f aca="false">History!$I$4</f>
        <v>3000</v>
      </c>
      <c r="L10" s="7" t="n">
        <f aca="false">History!$J$4</f>
        <v>6000</v>
      </c>
      <c r="M10" s="7" t="n">
        <f aca="false">History!$K$4</f>
        <v>20000</v>
      </c>
      <c r="N10" s="7" t="n">
        <f aca="false">History!$L$4</f>
        <v>60000</v>
      </c>
      <c r="O10" s="7" t="n">
        <f aca="false">History!$M$4</f>
        <v>140000</v>
      </c>
      <c r="P10" s="7" t="n">
        <f aca="false">Inputs!$H$3*Inputs!$H$9</f>
        <v>205500</v>
      </c>
      <c r="Q10" s="7" t="n">
        <f aca="false">Inputs!$I$3*Inputs!$I$9</f>
        <v>262937.243922625</v>
      </c>
      <c r="R10" s="7" t="n">
        <f aca="false">Inputs!$J$3*Inputs!$J$9</f>
        <v>323516.646783041</v>
      </c>
      <c r="S10" s="7" t="n">
        <f aca="false">Inputs!$K$3*Inputs!$K$9</f>
        <v>387238.208581247</v>
      </c>
      <c r="T10" s="7" t="n">
        <f aca="false">Inputs!$L$3*Inputs!$L$9</f>
        <v>454101.929317243</v>
      </c>
      <c r="U10" s="7" t="n">
        <f aca="false">Inputs!$M$3*Inputs!$M$9</f>
        <v>524107.80899103</v>
      </c>
      <c r="V10" s="7" t="n">
        <f aca="false">Inputs!$N$3*Inputs!$N$9</f>
        <v>580134.305574074</v>
      </c>
      <c r="W10" s="7" t="n">
        <f aca="false">Inputs!$O$3*Inputs!$O$9</f>
        <v>638589.217753058</v>
      </c>
      <c r="X10" s="7" t="n">
        <f aca="false">Inputs!$P$3*Inputs!$P$9</f>
        <v>699472.545527982</v>
      </c>
      <c r="Y10" s="7" t="n">
        <f aca="false">Inputs!$Q$3*Inputs!$Q$9</f>
        <v>762784.288898846</v>
      </c>
      <c r="Z10" s="7" t="n">
        <f aca="false">Inputs!$R$3*Inputs!$R$9</f>
        <v>828524.447865651</v>
      </c>
      <c r="AA10" s="7" t="n">
        <f aca="false">Inputs!$S$3*Inputs!$S$9</f>
        <v>889113.618389771</v>
      </c>
      <c r="AB10" s="7" t="n">
        <f aca="false">Inputs!$T$3*Inputs!$T$9</f>
        <v>951814.188345391</v>
      </c>
      <c r="AC10" s="7" t="n">
        <f aca="false">Inputs!$U$3*Inputs!$U$9</f>
        <v>1016626.15773251</v>
      </c>
      <c r="AD10" s="7" t="n">
        <f aca="false">Inputs!$V$3*Inputs!$V$9</f>
        <v>1083549.52655113</v>
      </c>
      <c r="AE10" s="7" t="n">
        <f aca="false">Inputs!$W$3*Inputs!$W$9</f>
        <v>1152584.29480125</v>
      </c>
    </row>
    <row r="11" customFormat="false" ht="15" hidden="false" customHeight="false" outlineLevel="0" collapsed="false">
      <c r="A11" s="0" t="s">
        <v>181</v>
      </c>
      <c r="B11" s="0" t="s">
        <v>51</v>
      </c>
      <c r="C11" s="0" t="s">
        <v>178</v>
      </c>
      <c r="D11" s="15" t="n">
        <f aca="false">D10*1*Inputs!$H$21*0.9/1000000</f>
        <v>0</v>
      </c>
      <c r="E11" s="15" t="n">
        <f aca="false">E10*1*Inputs!$H$21*0.9/1000000</f>
        <v>0</v>
      </c>
      <c r="F11" s="15" t="n">
        <f aca="false">F10*1*Inputs!$H$21*0.9/1000000</f>
        <v>0</v>
      </c>
      <c r="G11" s="15" t="n">
        <f aca="false">G10*1*Inputs!$H$21*0.9/1000000</f>
        <v>0</v>
      </c>
      <c r="H11" s="15" t="n">
        <f aca="false">H10*1*Inputs!$H$21*0.9/1000000</f>
        <v>0</v>
      </c>
      <c r="I11" s="15" t="n">
        <f aca="false">I10*1*Inputs!$H$21*0.9/1000000</f>
        <v>0.0072</v>
      </c>
      <c r="J11" s="15" t="n">
        <f aca="false">J10*1*Inputs!$H$21*0.9/1000000</f>
        <v>0.0144</v>
      </c>
      <c r="K11" s="15" t="n">
        <f aca="false">K10*1*Inputs!$H$21*0.9/1000000</f>
        <v>0.0216</v>
      </c>
      <c r="L11" s="15" t="n">
        <f aca="false">L10*1*Inputs!$H$21*0.9/1000000</f>
        <v>0.0432</v>
      </c>
      <c r="M11" s="15" t="n">
        <f aca="false">M10*1*Inputs!$H$21*0.9/1000000</f>
        <v>0.144</v>
      </c>
      <c r="N11" s="15" t="n">
        <f aca="false">N10*1*Inputs!$H$21*0.9/1000000</f>
        <v>0.432</v>
      </c>
      <c r="O11" s="15" t="n">
        <f aca="false">O10*1*Inputs!$H$21*0.9/1000000</f>
        <v>1.008</v>
      </c>
      <c r="P11" s="15" t="n">
        <f aca="false">P10*Inputs!$H$16*Inputs!$H$21/1000000</f>
        <v>1.644</v>
      </c>
      <c r="Q11" s="15" t="n">
        <f aca="false">Q10*Inputs!$I$16*Inputs!$I$21/1000000</f>
        <v>2.20867284895005</v>
      </c>
      <c r="R11" s="15" t="n">
        <f aca="false">R10*Inputs!$J$16*Inputs!$J$21/1000000</f>
        <v>2.84694649169076</v>
      </c>
      <c r="S11" s="15" t="n">
        <f aca="false">S10*Inputs!$K$16*Inputs!$K$21/1000000</f>
        <v>3.56259151894747</v>
      </c>
      <c r="T11" s="15" t="n">
        <f aca="false">T10*Inputs!$L$16*Inputs!$L$21/1000000</f>
        <v>4.35937852144554</v>
      </c>
      <c r="U11" s="15" t="n">
        <f aca="false">U10*Inputs!$M$16*Inputs!$M$21/1000000</f>
        <v>5.2410780899103</v>
      </c>
      <c r="V11" s="15" t="n">
        <f aca="false">V10*Inputs!$N$16*Inputs!$N$21/1000000</f>
        <v>5.91736991685555</v>
      </c>
      <c r="W11" s="15" t="n">
        <f aca="false">W10*Inputs!$O$16*Inputs!$O$21/1000000</f>
        <v>6.6413278646318</v>
      </c>
      <c r="X11" s="15" t="n">
        <f aca="false">X10*Inputs!$P$16*Inputs!$P$21/1000000</f>
        <v>7.41440898259661</v>
      </c>
      <c r="Y11" s="15" t="n">
        <f aca="false">Y10*Inputs!$Q$16*Inputs!$Q$21/1000000</f>
        <v>8.23807032010754</v>
      </c>
      <c r="Z11" s="15" t="n">
        <f aca="false">Z10*Inputs!$R$16*Inputs!$R$21/1000000</f>
        <v>9.11376892652216</v>
      </c>
      <c r="AA11" s="15" t="n">
        <f aca="false">AA10*Inputs!$S$16*Inputs!$S$21/1000000</f>
        <v>9.95807252596543</v>
      </c>
      <c r="AB11" s="15" t="n">
        <f aca="false">AB10*Inputs!$T$16*Inputs!$T$21/1000000</f>
        <v>10.8506817471375</v>
      </c>
      <c r="AC11" s="15" t="n">
        <f aca="false">AC10*Inputs!$U$16*Inputs!$U$21/1000000</f>
        <v>11.7928634296971</v>
      </c>
      <c r="AD11" s="15" t="n">
        <f aca="false">AD10*Inputs!$V$16*Inputs!$V$21/1000000</f>
        <v>12.7858844133033</v>
      </c>
      <c r="AE11" s="15" t="n">
        <f aca="false">AE10*Inputs!$W$16*Inputs!$W$21/1000000</f>
        <v>13.831011537615</v>
      </c>
    </row>
    <row r="12" customFormat="false" ht="15" hidden="false" customHeight="false" outlineLevel="0" collapsed="false">
      <c r="A12" s="0" t="s">
        <v>181</v>
      </c>
      <c r="B12" s="0" t="s">
        <v>51</v>
      </c>
      <c r="C12" s="0" t="s">
        <v>179</v>
      </c>
      <c r="D12" s="16" t="n">
        <f aca="false">P12</f>
        <v>0.5177</v>
      </c>
      <c r="E12" s="16" t="n">
        <f aca="false">P12</f>
        <v>0.5177</v>
      </c>
      <c r="F12" s="16" t="n">
        <f aca="false">P12</f>
        <v>0.5177</v>
      </c>
      <c r="G12" s="16" t="n">
        <f aca="false">P12</f>
        <v>0.5177</v>
      </c>
      <c r="H12" s="16" t="n">
        <f aca="false">P12</f>
        <v>0.5177</v>
      </c>
      <c r="I12" s="16" t="n">
        <f aca="false">P12</f>
        <v>0.5177</v>
      </c>
      <c r="J12" s="16" t="n">
        <f aca="false">P12</f>
        <v>0.5177</v>
      </c>
      <c r="K12" s="16" t="n">
        <f aca="false">P12</f>
        <v>0.5177</v>
      </c>
      <c r="L12" s="16" t="n">
        <f aca="false">P12</f>
        <v>0.5177</v>
      </c>
      <c r="M12" s="16" t="n">
        <f aca="false">P12</f>
        <v>0.5177</v>
      </c>
      <c r="N12" s="16" t="n">
        <f aca="false">P12</f>
        <v>0.5177</v>
      </c>
      <c r="O12" s="16" t="n">
        <f aca="false">P12</f>
        <v>0.5177</v>
      </c>
      <c r="P12" s="16" t="n">
        <f aca="false">(1-MIN(0.8,Inputs!$H$34+P3))*(Inputs!$H$27*$AH$3+(1-Inputs!$H$27)*$AH$4)</f>
        <v>0.5177</v>
      </c>
      <c r="Q12" s="16" t="n">
        <f aca="false">(1-MIN(0.8,Inputs!$I$34+Q3))*(Inputs!$I$27*$AH$3+(1-Inputs!$I$27)*$AH$4)</f>
        <v>0.5138483</v>
      </c>
      <c r="R12" s="16" t="n">
        <f aca="false">(1-MIN(0.8,Inputs!$J$34+R3))*(Inputs!$J$27*$AH$3+(1-Inputs!$J$27)*$AH$4)</f>
        <v>0.5100056</v>
      </c>
      <c r="S12" s="16" t="n">
        <f aca="false">(1-MIN(0.8,Inputs!$K$34+S3))*(Inputs!$K$27*$AH$3+(1-Inputs!$K$27)*$AH$4)</f>
        <v>0.5061719</v>
      </c>
      <c r="T12" s="16" t="n">
        <f aca="false">(1-MIN(0.8,Inputs!$L$34+T3))*(Inputs!$L$27*$AH$3+(1-Inputs!$L$27)*$AH$4)</f>
        <v>0.5023472</v>
      </c>
      <c r="U12" s="16" t="n">
        <f aca="false">(1-MIN(0.8,Inputs!$M$34+U3))*(Inputs!$M$27*$AH$3+(1-Inputs!$M$27)*$AH$4)</f>
        <v>0.4985315</v>
      </c>
      <c r="V12" s="16" t="n">
        <f aca="false">(1-MIN(0.8,Inputs!$N$34+V3))*(Inputs!$N$27*$AH$3+(1-Inputs!$N$27)*$AH$4)</f>
        <v>0.493392</v>
      </c>
      <c r="W12" s="16" t="n">
        <f aca="false">(1-MIN(0.8,Inputs!$O$34+W3))*(Inputs!$O$27*$AH$3+(1-Inputs!$O$27)*$AH$4)</f>
        <v>0.4882525</v>
      </c>
      <c r="X12" s="16" t="n">
        <f aca="false">(1-MIN(0.8,Inputs!$P$34+X3))*(Inputs!$P$27*$AH$3+(1-Inputs!$P$27)*$AH$4)</f>
        <v>0.483113</v>
      </c>
      <c r="Y12" s="16" t="n">
        <f aca="false">(1-MIN(0.8,Inputs!$Q$34+Y3))*(Inputs!$Q$27*$AH$3+(1-Inputs!$Q$27)*$AH$4)</f>
        <v>0.4779735</v>
      </c>
      <c r="Z12" s="16" t="n">
        <f aca="false">(1-MIN(0.8,Inputs!$R$34+Z3))*(Inputs!$R$27*$AH$3+(1-Inputs!$R$27)*$AH$4)</f>
        <v>0.472834</v>
      </c>
      <c r="AA12" s="16" t="n">
        <f aca="false">(1-MIN(0.8,Inputs!$S$34+AA3))*(Inputs!$S$27*$AH$3+(1-Inputs!$S$27)*$AH$4)</f>
        <v>0.4687224</v>
      </c>
      <c r="AB12" s="16" t="n">
        <f aca="false">(1-MIN(0.8,Inputs!$T$34+AB3))*(Inputs!$T$27*$AH$3+(1-Inputs!$T$27)*$AH$4)</f>
        <v>0.4646108</v>
      </c>
      <c r="AC12" s="16" t="n">
        <f aca="false">(1-MIN(0.8,Inputs!$U$34+AC3))*(Inputs!$U$27*$AH$3+(1-Inputs!$U$27)*$AH$4)</f>
        <v>0.4604992</v>
      </c>
      <c r="AD12" s="16" t="n">
        <f aca="false">(1-MIN(0.8,Inputs!$V$34+AD3))*(Inputs!$V$27*$AH$3+(1-Inputs!$V$27)*$AH$4)</f>
        <v>0.4563876</v>
      </c>
      <c r="AE12" s="16" t="n">
        <f aca="false">(1-MIN(0.8,Inputs!$W$34+AE3))*(Inputs!$W$27*$AH$3+(1-Inputs!$W$27)*$AH$4)</f>
        <v>0.452276</v>
      </c>
    </row>
    <row r="13" customFormat="false" ht="15" hidden="false" customHeight="false" outlineLevel="0" collapsed="false">
      <c r="A13" s="0" t="s">
        <v>181</v>
      </c>
      <c r="B13" s="0" t="s">
        <v>51</v>
      </c>
      <c r="C13" s="0" t="s">
        <v>114</v>
      </c>
      <c r="D13" s="7" t="n">
        <f aca="false">D11*D12*1000</f>
        <v>0</v>
      </c>
      <c r="E13" s="7" t="n">
        <f aca="false">E11*E12*1000</f>
        <v>0</v>
      </c>
      <c r="F13" s="7" t="n">
        <f aca="false">F11*F12*1000</f>
        <v>0</v>
      </c>
      <c r="G13" s="7" t="n">
        <f aca="false">G11*G12*1000</f>
        <v>0</v>
      </c>
      <c r="H13" s="7" t="n">
        <f aca="false">H11*H12*1000</f>
        <v>0</v>
      </c>
      <c r="I13" s="7" t="n">
        <f aca="false">I11*I12*1000</f>
        <v>3.72744</v>
      </c>
      <c r="J13" s="7" t="n">
        <f aca="false">J11*J12*1000</f>
        <v>7.45488</v>
      </c>
      <c r="K13" s="7" t="n">
        <f aca="false">K11*K12*1000</f>
        <v>11.18232</v>
      </c>
      <c r="L13" s="7" t="n">
        <f aca="false">L11*L12*1000</f>
        <v>22.36464</v>
      </c>
      <c r="M13" s="7" t="n">
        <f aca="false">M11*M12*1000</f>
        <v>74.5488</v>
      </c>
      <c r="N13" s="7" t="n">
        <f aca="false">N11*N12*1000</f>
        <v>223.6464</v>
      </c>
      <c r="O13" s="7" t="n">
        <f aca="false">O11*O12*1000</f>
        <v>521.8416</v>
      </c>
      <c r="P13" s="7" t="n">
        <f aca="false">P11*P12*1000</f>
        <v>851.0988</v>
      </c>
      <c r="Q13" s="7" t="n">
        <f aca="false">Q11*Q12*1000</f>
        <v>1134.92278868914</v>
      </c>
      <c r="R13" s="7" t="n">
        <f aca="false">R11*R12*1000</f>
        <v>1451.95865366264</v>
      </c>
      <c r="S13" s="7" t="n">
        <f aca="false">S11*S12*1000</f>
        <v>1803.28371806953</v>
      </c>
      <c r="T13" s="7" t="n">
        <f aca="false">T11*T12*1000</f>
        <v>2189.9215939883</v>
      </c>
      <c r="U13" s="7" t="n">
        <f aca="false">U11*U12*1000</f>
        <v>2612.84252178012</v>
      </c>
      <c r="V13" s="7" t="n">
        <f aca="false">V11*V12*1000</f>
        <v>2919.58297801719</v>
      </c>
      <c r="W13" s="7" t="n">
        <f aca="false">W11*W12*1000</f>
        <v>3242.64493322614</v>
      </c>
      <c r="X13" s="7" t="n">
        <f aca="false">X11*X12*1000</f>
        <v>3581.99736680919</v>
      </c>
      <c r="Y13" s="7" t="n">
        <f aca="false">Y11*Y12*1000</f>
        <v>3937.57930414792</v>
      </c>
      <c r="Z13" s="7" t="n">
        <f aca="false">Z11*Z12*1000</f>
        <v>4309.29981660318</v>
      </c>
      <c r="AA13" s="7" t="n">
        <f aca="false">AA11*AA12*1000</f>
        <v>4667.57165374458</v>
      </c>
      <c r="AB13" s="7" t="n">
        <f aca="false">AB11*AB12*1000</f>
        <v>5041.34392708293</v>
      </c>
      <c r="AC13" s="7" t="n">
        <f aca="false">AC11*AC12*1000</f>
        <v>5430.60417508478</v>
      </c>
      <c r="AD13" s="7" t="n">
        <f aca="false">AD11*AD12*1000</f>
        <v>5835.31910126491</v>
      </c>
      <c r="AE13" s="7" t="n">
        <f aca="false">AE11*AE12*1000</f>
        <v>6255.43457418634</v>
      </c>
    </row>
    <row r="15" customFormat="false" ht="15" hidden="false" customHeight="false" outlineLevel="0" collapsed="false">
      <c r="A15" s="0" t="s">
        <v>182</v>
      </c>
      <c r="B15" s="0" t="s">
        <v>53</v>
      </c>
      <c r="C15" s="0" t="s">
        <v>85</v>
      </c>
      <c r="D15" s="7" t="n">
        <f aca="false">History!$B$5</f>
        <v>50000</v>
      </c>
      <c r="E15" s="7" t="n">
        <f aca="false">History!$C$5</f>
        <v>80000</v>
      </c>
      <c r="F15" s="7" t="n">
        <f aca="false">History!$D$5</f>
        <v>120000</v>
      </c>
      <c r="G15" s="7" t="n">
        <f aca="false">History!$E$5</f>
        <v>180000</v>
      </c>
      <c r="H15" s="7" t="n">
        <f aca="false">History!$F$5</f>
        <v>250000</v>
      </c>
      <c r="I15" s="7" t="n">
        <f aca="false">History!$G$5</f>
        <v>300000</v>
      </c>
      <c r="J15" s="7" t="n">
        <f aca="false">History!$H$5</f>
        <v>350000</v>
      </c>
      <c r="K15" s="7" t="n">
        <f aca="false">History!$I$5</f>
        <v>250000</v>
      </c>
      <c r="L15" s="7" t="n">
        <f aca="false">History!$J$5</f>
        <v>300000</v>
      </c>
      <c r="M15" s="7" t="n">
        <f aca="false">History!$K$5</f>
        <v>380000</v>
      </c>
      <c r="N15" s="7" t="n">
        <f aca="false">History!$L$5</f>
        <v>480000</v>
      </c>
      <c r="O15" s="7" t="n">
        <f aca="false">History!$M$5</f>
        <v>520000</v>
      </c>
      <c r="P15" s="7" t="n">
        <f aca="false">Inputs!$H$4*Inputs!$H$10</f>
        <v>616000</v>
      </c>
      <c r="Q15" s="7" t="n">
        <f aca="false">Inputs!$I$4*Inputs!$I$10</f>
        <v>628822.75495424</v>
      </c>
      <c r="R15" s="7" t="n">
        <f aca="false">Inputs!$J$4*Inputs!$J$10</f>
        <v>641645.50990848</v>
      </c>
      <c r="S15" s="7" t="n">
        <f aca="false">Inputs!$K$4*Inputs!$K$10</f>
        <v>654468.26486272</v>
      </c>
      <c r="T15" s="7" t="n">
        <f aca="false">Inputs!$L$4*Inputs!$L$10</f>
        <v>667291.01981696</v>
      </c>
      <c r="U15" s="7" t="n">
        <f aca="false">Inputs!$M$4*Inputs!$M$10</f>
        <v>680113.7747712</v>
      </c>
      <c r="V15" s="7" t="n">
        <f aca="false">Inputs!$N$4*Inputs!$N$10</f>
        <v>694271.132360314</v>
      </c>
      <c r="W15" s="7" t="n">
        <f aca="false">Inputs!$O$4*Inputs!$O$10</f>
        <v>708428.489949428</v>
      </c>
      <c r="X15" s="7" t="n">
        <f aca="false">Inputs!$P$4*Inputs!$P$10</f>
        <v>722585.847538542</v>
      </c>
      <c r="Y15" s="7" t="n">
        <f aca="false">Inputs!$Q$4*Inputs!$Q$10</f>
        <v>736743.205127657</v>
      </c>
      <c r="Z15" s="7" t="n">
        <f aca="false">Inputs!$R$4*Inputs!$R$10</f>
        <v>750900.562716771</v>
      </c>
      <c r="AA15" s="7" t="n">
        <f aca="false">Inputs!$S$4*Inputs!$S$10</f>
        <v>766531.429454949</v>
      </c>
      <c r="AB15" s="7" t="n">
        <f aca="false">Inputs!$T$4*Inputs!$T$10</f>
        <v>782162.296193128</v>
      </c>
      <c r="AC15" s="7" t="n">
        <f aca="false">Inputs!$U$4*Inputs!$U$10</f>
        <v>797793.162931307</v>
      </c>
      <c r="AD15" s="7" t="n">
        <f aca="false">Inputs!$V$4*Inputs!$V$10</f>
        <v>813424.029669485</v>
      </c>
      <c r="AE15" s="7" t="n">
        <f aca="false">Inputs!$W$4*Inputs!$W$10</f>
        <v>829054.896407664</v>
      </c>
    </row>
    <row r="16" customFormat="false" ht="15" hidden="false" customHeight="false" outlineLevel="0" collapsed="false">
      <c r="A16" s="0" t="s">
        <v>182</v>
      </c>
      <c r="B16" s="0" t="s">
        <v>53</v>
      </c>
      <c r="C16" s="0" t="s">
        <v>178</v>
      </c>
      <c r="D16" s="15" t="n">
        <f aca="false">D15*History!$B$9*Inputs!$H$22*0.9/1000000</f>
        <v>0.0045</v>
      </c>
      <c r="E16" s="15" t="n">
        <f aca="false">E15*History!$C$9*Inputs!$H$22*0.9/1000000</f>
        <v>0.0072</v>
      </c>
      <c r="F16" s="15" t="n">
        <f aca="false">F15*History!$D$9*Inputs!$H$22*0.9/1000000</f>
        <v>0.0108</v>
      </c>
      <c r="G16" s="15" t="n">
        <f aca="false">G15*History!$E$9*Inputs!$H$22*0.9/1000000</f>
        <v>0.0162</v>
      </c>
      <c r="H16" s="15" t="n">
        <f aca="false">H15*History!$F$9*Inputs!$H$22*0.9/1000000</f>
        <v>0.0225</v>
      </c>
      <c r="I16" s="15" t="n">
        <f aca="false">I15*History!$G$9*Inputs!$H$22*0.9/1000000</f>
        <v>0.027</v>
      </c>
      <c r="J16" s="15" t="n">
        <f aca="false">J15*History!$H$9*Inputs!$H$22*0.9/1000000</f>
        <v>0.07875</v>
      </c>
      <c r="K16" s="15" t="n">
        <f aca="false">K15*History!$I$9*Inputs!$H$22*0.9/1000000</f>
        <v>0.05625</v>
      </c>
      <c r="L16" s="15" t="n">
        <f aca="false">L15*History!$J$9*Inputs!$H$22*0.9/1000000</f>
        <v>0.0675</v>
      </c>
      <c r="M16" s="15" t="n">
        <f aca="false">M15*History!$K$9*Inputs!$H$22*0.9/1000000</f>
        <v>0.171</v>
      </c>
      <c r="N16" s="15" t="n">
        <f aca="false">N15*History!$L$9*Inputs!$H$22*0.9/1000000</f>
        <v>0.216</v>
      </c>
      <c r="O16" s="15" t="n">
        <f aca="false">O15*History!$M$9*Inputs!$H$22*0.9/1000000</f>
        <v>0.351</v>
      </c>
      <c r="P16" s="15" t="n">
        <f aca="false">P15*Inputs!$H$14*Inputs!$H$22/1000000</f>
        <v>0.77</v>
      </c>
      <c r="Q16" s="15" t="n">
        <f aca="false">Q15*Inputs!$I$14*Inputs!$I$22/1000000</f>
        <v>1.04636106424386</v>
      </c>
      <c r="R16" s="15" t="n">
        <f aca="false">R15*Inputs!$J$14*Inputs!$J$22/1000000</f>
        <v>1.35130544386726</v>
      </c>
      <c r="S16" s="15" t="n">
        <f aca="false">S15*Inputs!$K$14*Inputs!$K$22/1000000</f>
        <v>1.68591025028637</v>
      </c>
      <c r="T16" s="15" t="n">
        <f aca="false">T15*Inputs!$L$14*Inputs!$L$22/1000000</f>
        <v>2.05125259491734</v>
      </c>
      <c r="U16" s="15" t="n">
        <f aca="false">U15*Inputs!$M$14*Inputs!$M$22/1000000</f>
        <v>2.44840958917632</v>
      </c>
      <c r="V16" s="15" t="n">
        <f aca="false">V15*Inputs!$N$14*Inputs!$N$22/1000000</f>
        <v>2.75278503980865</v>
      </c>
      <c r="W16" s="15" t="n">
        <f aca="false">W15*Inputs!$O$14*Inputs!$O$22/1000000</f>
        <v>3.07457964638052</v>
      </c>
      <c r="X16" s="15" t="n">
        <f aca="false">X15*Inputs!$P$14*Inputs!$P$22/1000000</f>
        <v>3.41421812961961</v>
      </c>
      <c r="Y16" s="15" t="n">
        <f aca="false">Y15*Inputs!$Q$14*Inputs!$Q$22/1000000</f>
        <v>3.7721252102536</v>
      </c>
      <c r="Z16" s="15" t="n">
        <f aca="false">Z15*Inputs!$R$14*Inputs!$R$22/1000000</f>
        <v>4.14872560901016</v>
      </c>
      <c r="AA16" s="15" t="n">
        <f aca="false">AA15*Inputs!$S$14*Inputs!$S$22/1000000</f>
        <v>4.45201454227435</v>
      </c>
      <c r="AB16" s="15" t="n">
        <f aca="false">AB15*Inputs!$T$14*Inputs!$T$22/1000000</f>
        <v>4.7688435198895</v>
      </c>
      <c r="AC16" s="15" t="n">
        <f aca="false">AC15*Inputs!$U$14*Inputs!$U$22/1000000</f>
        <v>5.09949389745691</v>
      </c>
      <c r="AD16" s="15" t="n">
        <f aca="false">AD15*Inputs!$V$14*Inputs!$V$22/1000000</f>
        <v>5.44424703057787</v>
      </c>
      <c r="AE16" s="15" t="n">
        <f aca="false">AE15*Inputs!$W$14*Inputs!$W$22/1000000</f>
        <v>5.80338427485365</v>
      </c>
    </row>
    <row r="17" customFormat="false" ht="15" hidden="false" customHeight="false" outlineLevel="0" collapsed="false">
      <c r="A17" s="0" t="s">
        <v>182</v>
      </c>
      <c r="B17" s="0" t="s">
        <v>53</v>
      </c>
      <c r="C17" s="0" t="s">
        <v>179</v>
      </c>
      <c r="D17" s="16" t="n">
        <f aca="false">P17</f>
        <v>0.5102</v>
      </c>
      <c r="E17" s="16" t="n">
        <f aca="false">P17</f>
        <v>0.5102</v>
      </c>
      <c r="F17" s="16" t="n">
        <f aca="false">P17</f>
        <v>0.5102</v>
      </c>
      <c r="G17" s="16" t="n">
        <f aca="false">P17</f>
        <v>0.5102</v>
      </c>
      <c r="H17" s="16" t="n">
        <f aca="false">P17</f>
        <v>0.5102</v>
      </c>
      <c r="I17" s="16" t="n">
        <f aca="false">P17</f>
        <v>0.5102</v>
      </c>
      <c r="J17" s="16" t="n">
        <f aca="false">P17</f>
        <v>0.5102</v>
      </c>
      <c r="K17" s="16" t="n">
        <f aca="false">P17</f>
        <v>0.5102</v>
      </c>
      <c r="L17" s="16" t="n">
        <f aca="false">P17</f>
        <v>0.5102</v>
      </c>
      <c r="M17" s="16" t="n">
        <f aca="false">P17</f>
        <v>0.5102</v>
      </c>
      <c r="N17" s="16" t="n">
        <f aca="false">P17</f>
        <v>0.5102</v>
      </c>
      <c r="O17" s="16" t="n">
        <f aca="false">P17</f>
        <v>0.5102</v>
      </c>
      <c r="P17" s="16" t="n">
        <f aca="false">(1-MIN(0.8,Inputs!$H$35+P3))*(Inputs!$H$28*$AH$3+(1-Inputs!$H$28)*$AH$4)</f>
        <v>0.5102</v>
      </c>
      <c r="Q17" s="16" t="n">
        <f aca="false">(1-MIN(0.8,Inputs!$I$35+Q3))*(Inputs!$I$28*$AH$3+(1-Inputs!$I$28)*$AH$4)</f>
        <v>0.5071388</v>
      </c>
      <c r="R17" s="16" t="n">
        <f aca="false">(1-MIN(0.8,Inputs!$J$35+R3))*(Inputs!$J$28*$AH$3+(1-Inputs!$J$28)*$AH$4)</f>
        <v>0.5040776</v>
      </c>
      <c r="S17" s="16" t="n">
        <f aca="false">(1-MIN(0.8,Inputs!$K$35+S3))*(Inputs!$K$28*$AH$3+(1-Inputs!$K$28)*$AH$4)</f>
        <v>0.5010164</v>
      </c>
      <c r="T17" s="16" t="n">
        <f aca="false">(1-MIN(0.8,Inputs!$L$35+T3))*(Inputs!$L$28*$AH$3+(1-Inputs!$L$28)*$AH$4)</f>
        <v>0.4979552</v>
      </c>
      <c r="U17" s="16" t="n">
        <f aca="false">(1-MIN(0.8,Inputs!$M$35+U3))*(Inputs!$M$28*$AH$3+(1-Inputs!$M$28)*$AH$4)</f>
        <v>0.494894</v>
      </c>
      <c r="V17" s="16" t="n">
        <f aca="false">(1-MIN(0.8,Inputs!$N$35+V3))*(Inputs!$N$28*$AH$3+(1-Inputs!$N$28)*$AH$4)</f>
        <v>0.489792</v>
      </c>
      <c r="W17" s="16" t="n">
        <f aca="false">(1-MIN(0.8,Inputs!$O$35+W3))*(Inputs!$O$28*$AH$3+(1-Inputs!$O$28)*$AH$4)</f>
        <v>0.48469</v>
      </c>
      <c r="X17" s="16" t="n">
        <f aca="false">(1-MIN(0.8,Inputs!$P$35+X3))*(Inputs!$P$28*$AH$3+(1-Inputs!$P$28)*$AH$4)</f>
        <v>0.479588</v>
      </c>
      <c r="Y17" s="16" t="n">
        <f aca="false">(1-MIN(0.8,Inputs!$Q$35+Y3))*(Inputs!$Q$28*$AH$3+(1-Inputs!$Q$28)*$AH$4)</f>
        <v>0.474486</v>
      </c>
      <c r="Z17" s="16" t="n">
        <f aca="false">(1-MIN(0.8,Inputs!$R$35+Z3))*(Inputs!$R$28*$AH$3+(1-Inputs!$R$28)*$AH$4)</f>
        <v>0.469384</v>
      </c>
      <c r="AA17" s="16" t="n">
        <f aca="false">(1-MIN(0.8,Inputs!$S$35+AA3))*(Inputs!$S$28*$AH$3+(1-Inputs!$S$28)*$AH$4)</f>
        <v>0.4653024</v>
      </c>
      <c r="AB17" s="16" t="n">
        <f aca="false">(1-MIN(0.8,Inputs!$T$35+AB3))*(Inputs!$T$28*$AH$3+(1-Inputs!$T$28)*$AH$4)</f>
        <v>0.4612208</v>
      </c>
      <c r="AC17" s="16" t="n">
        <f aca="false">(1-MIN(0.8,Inputs!$U$35+AC3))*(Inputs!$U$28*$AH$3+(1-Inputs!$U$28)*$AH$4)</f>
        <v>0.4571392</v>
      </c>
      <c r="AD17" s="16" t="n">
        <f aca="false">(1-MIN(0.8,Inputs!$V$35+AD3))*(Inputs!$V$28*$AH$3+(1-Inputs!$V$28)*$AH$4)</f>
        <v>0.4530576</v>
      </c>
      <c r="AE17" s="16" t="n">
        <f aca="false">(1-MIN(0.8,Inputs!$W$35+AE3))*(Inputs!$W$28*$AH$3+(1-Inputs!$W$28)*$AH$4)</f>
        <v>0.448976</v>
      </c>
    </row>
    <row r="18" customFormat="false" ht="15" hidden="false" customHeight="false" outlineLevel="0" collapsed="false">
      <c r="A18" s="0" t="s">
        <v>182</v>
      </c>
      <c r="B18" s="0" t="s">
        <v>53</v>
      </c>
      <c r="C18" s="0" t="s">
        <v>114</v>
      </c>
      <c r="D18" s="7" t="n">
        <f aca="false">D16*D17*1000</f>
        <v>2.2959</v>
      </c>
      <c r="E18" s="7" t="n">
        <f aca="false">E16*E17*1000</f>
        <v>3.67344</v>
      </c>
      <c r="F18" s="7" t="n">
        <f aca="false">F16*F17*1000</f>
        <v>5.51016</v>
      </c>
      <c r="G18" s="7" t="n">
        <f aca="false">G16*G17*1000</f>
        <v>8.26524</v>
      </c>
      <c r="H18" s="7" t="n">
        <f aca="false">H16*H17*1000</f>
        <v>11.4795</v>
      </c>
      <c r="I18" s="7" t="n">
        <f aca="false">I16*I17*1000</f>
        <v>13.7754</v>
      </c>
      <c r="J18" s="7" t="n">
        <f aca="false">J16*J17*1000</f>
        <v>40.17825</v>
      </c>
      <c r="K18" s="7" t="n">
        <f aca="false">K16*K17*1000</f>
        <v>28.69875</v>
      </c>
      <c r="L18" s="7" t="n">
        <f aca="false">L16*L17*1000</f>
        <v>34.4385</v>
      </c>
      <c r="M18" s="7" t="n">
        <f aca="false">M16*M17*1000</f>
        <v>87.2442</v>
      </c>
      <c r="N18" s="7" t="n">
        <f aca="false">N16*N17*1000</f>
        <v>110.2032</v>
      </c>
      <c r="O18" s="7" t="n">
        <f aca="false">O16*O17*1000</f>
        <v>179.0802</v>
      </c>
      <c r="P18" s="7" t="n">
        <f aca="false">P16*P17*1000</f>
        <v>392.854</v>
      </c>
      <c r="Q18" s="7" t="n">
        <f aca="false">Q16*Q17*1000</f>
        <v>530.650294487352</v>
      </c>
      <c r="R18" s="7" t="n">
        <f aca="false">R16*R17*1000</f>
        <v>681.162805011543</v>
      </c>
      <c r="S18" s="7" t="n">
        <f aca="false">S16*S17*1000</f>
        <v>844.668684321574</v>
      </c>
      <c r="T18" s="7" t="n">
        <f aca="false">T16*T17*1000</f>
        <v>1021.43189615258</v>
      </c>
      <c r="U18" s="7" t="n">
        <f aca="false">U16*U17*1000</f>
        <v>1211.70321522583</v>
      </c>
      <c r="V18" s="7" t="n">
        <f aca="false">V16*V17*1000</f>
        <v>1348.29209021796</v>
      </c>
      <c r="W18" s="7" t="n">
        <f aca="false">W16*W17*1000</f>
        <v>1490.21800880417</v>
      </c>
      <c r="X18" s="7" t="n">
        <f aca="false">X16*X17*1000</f>
        <v>1637.41804434801</v>
      </c>
      <c r="Y18" s="7" t="n">
        <f aca="false">Y16*Y17*1000</f>
        <v>1789.82060251239</v>
      </c>
      <c r="Z18" s="7" t="n">
        <f aca="false">Z16*Z17*1000</f>
        <v>1947.34542125962</v>
      </c>
      <c r="AA18" s="7" t="n">
        <f aca="false">AA16*AA17*1000</f>
        <v>2071.53305135515</v>
      </c>
      <c r="AB18" s="7" t="n">
        <f aca="false">AB16*AB17*1000</f>
        <v>2199.48982331825</v>
      </c>
      <c r="AC18" s="7" t="n">
        <f aca="false">AC16*AC17*1000</f>
        <v>2331.17856068833</v>
      </c>
      <c r="AD18" s="7" t="n">
        <f aca="false">AD16*AD17*1000</f>
        <v>2466.55749348073</v>
      </c>
      <c r="AE18" s="7" t="n">
        <f aca="false">AE16*AE17*1000</f>
        <v>2605.58025818669</v>
      </c>
    </row>
    <row r="20" customFormat="false" ht="15" hidden="false" customHeight="false" outlineLevel="0" collapsed="false">
      <c r="A20" s="0" t="s">
        <v>183</v>
      </c>
      <c r="B20" s="0" t="s">
        <v>55</v>
      </c>
      <c r="C20" s="0" t="s">
        <v>85</v>
      </c>
      <c r="D20" s="7" t="n">
        <f aca="false">History!$B$6</f>
        <v>0</v>
      </c>
      <c r="E20" s="7" t="n">
        <f aca="false">History!$C$6</f>
        <v>0</v>
      </c>
      <c r="F20" s="7" t="n">
        <f aca="false">History!$D$6</f>
        <v>1000</v>
      </c>
      <c r="G20" s="7" t="n">
        <f aca="false">History!$E$6</f>
        <v>1000</v>
      </c>
      <c r="H20" s="7" t="n">
        <f aca="false">History!$F$6</f>
        <v>1500</v>
      </c>
      <c r="I20" s="7" t="n">
        <f aca="false">History!$G$6</f>
        <v>2000</v>
      </c>
      <c r="J20" s="7" t="n">
        <f aca="false">History!$H$6</f>
        <v>2000</v>
      </c>
      <c r="K20" s="7" t="n">
        <f aca="false">History!$I$6</f>
        <v>4000</v>
      </c>
      <c r="L20" s="7" t="n">
        <f aca="false">History!$J$6</f>
        <v>14000</v>
      </c>
      <c r="M20" s="7" t="n">
        <f aca="false">History!$K$6</f>
        <v>38000</v>
      </c>
      <c r="N20" s="7" t="n">
        <f aca="false">History!$L$6</f>
        <v>82000</v>
      </c>
      <c r="O20" s="7" t="n">
        <f aca="false">History!$M$6</f>
        <v>100000</v>
      </c>
      <c r="P20" s="7" t="n">
        <f aca="false">Inputs!$H$5*Inputs!$H$11</f>
        <v>200205</v>
      </c>
      <c r="Q20" s="7" t="n">
        <f aca="false">Inputs!$I$5*Inputs!$I$11</f>
        <v>291079.790727375</v>
      </c>
      <c r="R20" s="7" t="n">
        <f aca="false">Inputs!$J$5*Inputs!$J$11</f>
        <v>390312.982821375</v>
      </c>
      <c r="S20" s="7" t="n">
        <f aca="false">Inputs!$K$5*Inputs!$K$11</f>
        <v>497904.576282</v>
      </c>
      <c r="T20" s="7" t="n">
        <f aca="false">Inputs!$L$5*Inputs!$L$11</f>
        <v>613854.57110925</v>
      </c>
      <c r="U20" s="7" t="n">
        <f aca="false">Inputs!$M$5*Inputs!$M$11</f>
        <v>738162.967303125</v>
      </c>
      <c r="V20" s="7" t="n">
        <f aca="false">Inputs!$N$5*Inputs!$N$11</f>
        <v>958709.084185051</v>
      </c>
      <c r="W20" s="7" t="n">
        <f aca="false">Inputs!$O$5*Inputs!$O$11</f>
        <v>1198080.50734262</v>
      </c>
      <c r="X20" s="7" t="n">
        <f aca="false">Inputs!$P$5*Inputs!$P$11</f>
        <v>1456277.23677584</v>
      </c>
      <c r="Y20" s="7" t="n">
        <f aca="false">Inputs!$Q$5*Inputs!$Q$11</f>
        <v>1733299.27248469</v>
      </c>
      <c r="Z20" s="7" t="n">
        <f aca="false">Inputs!$R$5*Inputs!$R$11</f>
        <v>2029146.6144692</v>
      </c>
      <c r="AA20" s="7" t="n">
        <f aca="false">Inputs!$S$5*Inputs!$S$11</f>
        <v>2401281.10359528</v>
      </c>
      <c r="AB20" s="7" t="n">
        <f aca="false">Inputs!$T$5*Inputs!$T$11</f>
        <v>2800645.50287046</v>
      </c>
      <c r="AC20" s="7" t="n">
        <f aca="false">Inputs!$U$5*Inputs!$U$11</f>
        <v>3227239.81229473</v>
      </c>
      <c r="AD20" s="7" t="n">
        <f aca="false">Inputs!$V$5*Inputs!$V$11</f>
        <v>3681064.03186809</v>
      </c>
      <c r="AE20" s="7" t="n">
        <f aca="false">Inputs!$W$5*Inputs!$W$11</f>
        <v>4162118.16159053</v>
      </c>
    </row>
    <row r="21" customFormat="false" ht="15" hidden="false" customHeight="false" outlineLevel="0" collapsed="false">
      <c r="A21" s="0" t="s">
        <v>183</v>
      </c>
      <c r="B21" s="0" t="s">
        <v>55</v>
      </c>
      <c r="C21" s="0" t="s">
        <v>178</v>
      </c>
      <c r="D21" s="15" t="n">
        <f aca="false">D20*1*Inputs!$H$23*0.9/1000000</f>
        <v>0</v>
      </c>
      <c r="E21" s="15" t="n">
        <f aca="false">E20*1*Inputs!$H$23*0.9/1000000</f>
        <v>0</v>
      </c>
      <c r="F21" s="15" t="n">
        <f aca="false">F20*1*Inputs!$H$23*0.9/1000000</f>
        <v>0.0342</v>
      </c>
      <c r="G21" s="15" t="n">
        <f aca="false">G20*1*Inputs!$H$23*0.9/1000000</f>
        <v>0.0342</v>
      </c>
      <c r="H21" s="15" t="n">
        <f aca="false">H20*1*Inputs!$H$23*0.9/1000000</f>
        <v>0.0513</v>
      </c>
      <c r="I21" s="15" t="n">
        <f aca="false">I20*1*Inputs!$H$23*0.9/1000000</f>
        <v>0.0684</v>
      </c>
      <c r="J21" s="15" t="n">
        <f aca="false">J20*1*Inputs!$H$23*0.9/1000000</f>
        <v>0.0684</v>
      </c>
      <c r="K21" s="15" t="n">
        <f aca="false">K20*1*Inputs!$H$23*0.9/1000000</f>
        <v>0.1368</v>
      </c>
      <c r="L21" s="15" t="n">
        <f aca="false">L20*1*Inputs!$H$23*0.9/1000000</f>
        <v>0.4788</v>
      </c>
      <c r="M21" s="15" t="n">
        <f aca="false">M20*1*Inputs!$H$23*0.9/1000000</f>
        <v>1.2996</v>
      </c>
      <c r="N21" s="15" t="n">
        <f aca="false">N20*1*Inputs!$H$23*0.9/1000000</f>
        <v>2.8044</v>
      </c>
      <c r="O21" s="15" t="n">
        <f aca="false">O20*1*Inputs!$H$23*0.9/1000000</f>
        <v>3.42</v>
      </c>
      <c r="P21" s="15" t="n">
        <f aca="false">P20*Inputs!$H$17*Inputs!$H$23/1000000</f>
        <v>7.60779</v>
      </c>
      <c r="Q21" s="15" t="n">
        <f aca="false">Q20*Inputs!$I$17*Inputs!$I$23/1000000</f>
        <v>11.2938958802221</v>
      </c>
      <c r="R21" s="15" t="n">
        <f aca="false">R20*Inputs!$J$17*Inputs!$J$23/1000000</f>
        <v>15.4563941197265</v>
      </c>
      <c r="S21" s="15" t="n">
        <f aca="false">S20*Inputs!$K$17*Inputs!$K$23/1000000</f>
        <v>20.1153448817928</v>
      </c>
      <c r="T21" s="15" t="n">
        <f aca="false">T20*Inputs!$L$17*Inputs!$L$23/1000000</f>
        <v>25.2908083297011</v>
      </c>
      <c r="U21" s="15" t="n">
        <f aca="false">U20*Inputs!$M$17*Inputs!$M$23/1000000</f>
        <v>31.0028446267313</v>
      </c>
      <c r="V21" s="15" t="n">
        <f aca="false">V20*Inputs!$N$17*Inputs!$N$23/1000000</f>
        <v>40.8410069862832</v>
      </c>
      <c r="W21" s="15" t="n">
        <f aca="false">W20*Inputs!$O$17*Inputs!$O$23/1000000</f>
        <v>51.7570779172012</v>
      </c>
      <c r="X21" s="15" t="n">
        <f aca="false">X20*Inputs!$P$17*Inputs!$P$23/1000000</f>
        <v>63.7849429707816</v>
      </c>
      <c r="Y21" s="15" t="n">
        <f aca="false">Y20*Inputs!$Q$17*Inputs!$Q$23/1000000</f>
        <v>76.9584876983204</v>
      </c>
      <c r="Z21" s="15" t="n">
        <f aca="false">Z20*Inputs!$R$17*Inputs!$R$23/1000000</f>
        <v>91.3115976511138</v>
      </c>
      <c r="AA21" s="15" t="n">
        <f aca="false">AA20*Inputs!$S$17*Inputs!$S$23/1000000</f>
        <v>109.498418323945</v>
      </c>
      <c r="AB21" s="15" t="n">
        <f aca="false">AB20*Inputs!$T$17*Inputs!$T$23/1000000</f>
        <v>129.389822232615</v>
      </c>
      <c r="AC21" s="15" t="n">
        <f aca="false">AC20*Inputs!$U$17*Inputs!$U$23/1000000</f>
        <v>151.034823215393</v>
      </c>
      <c r="AD21" s="15" t="n">
        <f aca="false">AD20*Inputs!$V$17*Inputs!$V$23/1000000</f>
        <v>174.482435110547</v>
      </c>
      <c r="AE21" s="15" t="n">
        <f aca="false">AE20*Inputs!$W$17*Inputs!$W$23/1000000</f>
        <v>199.781671756345</v>
      </c>
    </row>
    <row r="22" customFormat="false" ht="15" hidden="false" customHeight="false" outlineLevel="0" collapsed="false">
      <c r="A22" s="0" t="s">
        <v>183</v>
      </c>
      <c r="B22" s="0" t="s">
        <v>55</v>
      </c>
      <c r="C22" s="0" t="s">
        <v>179</v>
      </c>
      <c r="D22" s="16" t="n">
        <f aca="false">P22</f>
        <v>0.55145</v>
      </c>
      <c r="E22" s="16" t="n">
        <f aca="false">P22</f>
        <v>0.55145</v>
      </c>
      <c r="F22" s="16" t="n">
        <f aca="false">P22</f>
        <v>0.55145</v>
      </c>
      <c r="G22" s="16" t="n">
        <f aca="false">P22</f>
        <v>0.55145</v>
      </c>
      <c r="H22" s="16" t="n">
        <f aca="false">P22</f>
        <v>0.55145</v>
      </c>
      <c r="I22" s="16" t="n">
        <f aca="false">P22</f>
        <v>0.55145</v>
      </c>
      <c r="J22" s="16" t="n">
        <f aca="false">P22</f>
        <v>0.55145</v>
      </c>
      <c r="K22" s="16" t="n">
        <f aca="false">P22</f>
        <v>0.55145</v>
      </c>
      <c r="L22" s="16" t="n">
        <f aca="false">P22</f>
        <v>0.55145</v>
      </c>
      <c r="M22" s="16" t="n">
        <f aca="false">P22</f>
        <v>0.55145</v>
      </c>
      <c r="N22" s="16" t="n">
        <f aca="false">P22</f>
        <v>0.55145</v>
      </c>
      <c r="O22" s="16" t="n">
        <f aca="false">P22</f>
        <v>0.55145</v>
      </c>
      <c r="P22" s="16" t="n">
        <f aca="false">(1-0)*(Inputs!$H$29*$AH$3+(1-Inputs!$H$29)*$AH$4)</f>
        <v>0.55145</v>
      </c>
      <c r="Q22" s="16" t="n">
        <f aca="false">(1-0)*(Inputs!$I$29*$AH$3+(1-Inputs!$I$29)*$AH$4)</f>
        <v>0.5492</v>
      </c>
      <c r="R22" s="16" t="n">
        <f aca="false">(1-0)*(Inputs!$J$29*$AH$3+(1-Inputs!$J$29)*$AH$4)</f>
        <v>0.54695</v>
      </c>
      <c r="S22" s="16" t="n">
        <f aca="false">(1-0)*(Inputs!$K$29*$AH$3+(1-Inputs!$K$29)*$AH$4)</f>
        <v>0.5447</v>
      </c>
      <c r="T22" s="16" t="n">
        <f aca="false">(1-0)*(Inputs!$L$29*$AH$3+(1-Inputs!$L$29)*$AH$4)</f>
        <v>0.54245</v>
      </c>
      <c r="U22" s="16" t="n">
        <f aca="false">(1-0)*(Inputs!$M$29*$AH$3+(1-Inputs!$M$29)*$AH$4)</f>
        <v>0.5402</v>
      </c>
      <c r="V22" s="16" t="n">
        <f aca="false">(1-0)*(Inputs!$N$29*$AH$3+(1-Inputs!$N$29)*$AH$4)</f>
        <v>0.53945</v>
      </c>
      <c r="W22" s="16" t="n">
        <f aca="false">(1-0)*(Inputs!$O$29*$AH$3+(1-Inputs!$O$29)*$AH$4)</f>
        <v>0.5387</v>
      </c>
      <c r="X22" s="16" t="n">
        <f aca="false">(1-0)*(Inputs!$P$29*$AH$3+(1-Inputs!$P$29)*$AH$4)</f>
        <v>0.53795</v>
      </c>
      <c r="Y22" s="16" t="n">
        <f aca="false">(1-0)*(Inputs!$Q$29*$AH$3+(1-Inputs!$Q$29)*$AH$4)</f>
        <v>0.5372</v>
      </c>
      <c r="Z22" s="16" t="n">
        <f aca="false">(1-0)*(Inputs!$R$29*$AH$3+(1-Inputs!$R$29)*$AH$4)</f>
        <v>0.53645</v>
      </c>
      <c r="AA22" s="16" t="n">
        <f aca="false">(1-0)*(Inputs!$S$29*$AH$3+(1-Inputs!$S$29)*$AH$4)</f>
        <v>0.5357</v>
      </c>
      <c r="AB22" s="16" t="n">
        <f aca="false">(1-0)*(Inputs!$T$29*$AH$3+(1-Inputs!$T$29)*$AH$4)</f>
        <v>0.53495</v>
      </c>
      <c r="AC22" s="16" t="n">
        <f aca="false">(1-0)*(Inputs!$U$29*$AH$3+(1-Inputs!$U$29)*$AH$4)</f>
        <v>0.5342</v>
      </c>
      <c r="AD22" s="16" t="n">
        <f aca="false">(1-0)*(Inputs!$V$29*$AH$3+(1-Inputs!$V$29)*$AH$4)</f>
        <v>0.53345</v>
      </c>
      <c r="AE22" s="16" t="n">
        <f aca="false">(1-0)*(Inputs!$W$29*$AH$3+(1-Inputs!$W$29)*$AH$4)</f>
        <v>0.5327</v>
      </c>
    </row>
    <row r="23" customFormat="false" ht="15" hidden="false" customHeight="false" outlineLevel="0" collapsed="false">
      <c r="A23" s="0" t="s">
        <v>183</v>
      </c>
      <c r="B23" s="0" t="s">
        <v>55</v>
      </c>
      <c r="C23" s="0" t="s">
        <v>114</v>
      </c>
      <c r="D23" s="7" t="n">
        <f aca="false">D21*D22*1000</f>
        <v>0</v>
      </c>
      <c r="E23" s="7" t="n">
        <f aca="false">E21*E22*1000</f>
        <v>0</v>
      </c>
      <c r="F23" s="7" t="n">
        <f aca="false">F21*F22*1000</f>
        <v>18.85959</v>
      </c>
      <c r="G23" s="7" t="n">
        <f aca="false">G21*G22*1000</f>
        <v>18.85959</v>
      </c>
      <c r="H23" s="7" t="n">
        <f aca="false">H21*H22*1000</f>
        <v>28.289385</v>
      </c>
      <c r="I23" s="7" t="n">
        <f aca="false">I21*I22*1000</f>
        <v>37.71918</v>
      </c>
      <c r="J23" s="7" t="n">
        <f aca="false">J21*J22*1000</f>
        <v>37.71918</v>
      </c>
      <c r="K23" s="7" t="n">
        <f aca="false">K21*K22*1000</f>
        <v>75.43836</v>
      </c>
      <c r="L23" s="7" t="n">
        <f aca="false">L21*L22*1000</f>
        <v>264.03426</v>
      </c>
      <c r="M23" s="7" t="n">
        <f aca="false">M21*M22*1000</f>
        <v>716.66442</v>
      </c>
      <c r="N23" s="7" t="n">
        <f aca="false">N21*N22*1000</f>
        <v>1546.48638</v>
      </c>
      <c r="O23" s="7" t="n">
        <f aca="false">O21*O22*1000</f>
        <v>1885.959</v>
      </c>
      <c r="P23" s="7" t="n">
        <f aca="false">P21*P22*1000</f>
        <v>4195.3157955</v>
      </c>
      <c r="Q23" s="7" t="n">
        <f aca="false">Q21*Q22*1000</f>
        <v>6202.607617418</v>
      </c>
      <c r="R23" s="7" t="n">
        <f aca="false">R21*R22*1000</f>
        <v>8453.87476378438</v>
      </c>
      <c r="S23" s="7" t="n">
        <f aca="false">S21*S22*1000</f>
        <v>10956.8283571125</v>
      </c>
      <c r="T23" s="7" t="n">
        <f aca="false">T21*T22*1000</f>
        <v>13718.9989784464</v>
      </c>
      <c r="U23" s="7" t="n">
        <f aca="false">U21*U22*1000</f>
        <v>16747.7366673602</v>
      </c>
      <c r="V23" s="7" t="n">
        <f aca="false">V21*V22*1000</f>
        <v>22031.6812187505</v>
      </c>
      <c r="W23" s="7" t="n">
        <f aca="false">W21*W22*1000</f>
        <v>27881.5378739963</v>
      </c>
      <c r="X23" s="7" t="n">
        <f aca="false">X21*X22*1000</f>
        <v>34313.110071132</v>
      </c>
      <c r="Y23" s="7" t="n">
        <f aca="false">Y21*Y22*1000</f>
        <v>41342.0995915377</v>
      </c>
      <c r="Z23" s="7" t="n">
        <f aca="false">Z21*Z22*1000</f>
        <v>48984.10655994</v>
      </c>
      <c r="AA23" s="7" t="n">
        <f aca="false">AA21*AA22*1000</f>
        <v>58658.3026961373</v>
      </c>
      <c r="AB23" s="7" t="n">
        <f aca="false">AB21*AB22*1000</f>
        <v>69217.0854033376</v>
      </c>
      <c r="AC23" s="7" t="n">
        <f aca="false">AC21*AC22*1000</f>
        <v>80682.8025616631</v>
      </c>
      <c r="AD23" s="7" t="n">
        <f aca="false">AD21*AD22*1000</f>
        <v>93077.6550097214</v>
      </c>
      <c r="AE23" s="7" t="n">
        <f aca="false">AE21*AE22*1000</f>
        <v>106423.696544605</v>
      </c>
    </row>
    <row r="25" customFormat="false" ht="15" hidden="false" customHeight="false" outlineLevel="0" collapsed="false">
      <c r="A25" s="0" t="s">
        <v>184</v>
      </c>
      <c r="B25" s="0" t="s">
        <v>57</v>
      </c>
      <c r="C25" s="0" t="s">
        <v>85</v>
      </c>
      <c r="D25" s="7" t="n">
        <f aca="false">History!$B$7</f>
        <v>0</v>
      </c>
      <c r="E25" s="7" t="n">
        <f aca="false">History!$C$7</f>
        <v>0</v>
      </c>
      <c r="F25" s="7" t="n">
        <f aca="false">History!$D$7</f>
        <v>0</v>
      </c>
      <c r="G25" s="7" t="n">
        <f aca="false">History!$E$7</f>
        <v>0</v>
      </c>
      <c r="H25" s="7" t="n">
        <f aca="false">History!$F$7</f>
        <v>0</v>
      </c>
      <c r="I25" s="7" t="n">
        <f aca="false">History!$G$7</f>
        <v>300</v>
      </c>
      <c r="J25" s="7" t="n">
        <f aca="false">History!$H$7</f>
        <v>600</v>
      </c>
      <c r="K25" s="7" t="n">
        <f aca="false">History!$I$7</f>
        <v>600</v>
      </c>
      <c r="L25" s="7" t="n">
        <f aca="false">History!$J$7</f>
        <v>1200</v>
      </c>
      <c r="M25" s="7" t="n">
        <f aca="false">History!$K$7</f>
        <v>2000</v>
      </c>
      <c r="N25" s="7" t="n">
        <f aca="false">History!$L$7</f>
        <v>3500</v>
      </c>
      <c r="O25" s="7" t="n">
        <f aca="false">History!$M$7</f>
        <v>4000</v>
      </c>
      <c r="P25" s="7" t="n">
        <f aca="false">Inputs!$H$6*Inputs!$H$12</f>
        <v>5200</v>
      </c>
      <c r="Q25" s="7" t="n">
        <f aca="false">Inputs!$I$6*Inputs!$I$12</f>
        <v>9556.9081171968</v>
      </c>
      <c r="R25" s="7" t="n">
        <f aca="false">Inputs!$J$6*Inputs!$J$12</f>
        <v>14256.9944317952</v>
      </c>
      <c r="S25" s="7" t="n">
        <f aca="false">Inputs!$K$6*Inputs!$K$12</f>
        <v>19300.2589437952</v>
      </c>
      <c r="T25" s="7" t="n">
        <f aca="false">Inputs!$L$6*Inputs!$L$12</f>
        <v>24686.7016531968</v>
      </c>
      <c r="U25" s="7" t="n">
        <f aca="false">Inputs!$M$6*Inputs!$M$12</f>
        <v>30416.32256</v>
      </c>
      <c r="V25" s="7" t="n">
        <f aca="false">Inputs!$N$6*Inputs!$N$12</f>
        <v>38081.1353671101</v>
      </c>
      <c r="W25" s="7" t="n">
        <f aca="false">Inputs!$O$6*Inputs!$O$12</f>
        <v>46273.1309392568</v>
      </c>
      <c r="X25" s="7" t="n">
        <f aca="false">Inputs!$P$6*Inputs!$P$12</f>
        <v>54992.3092764403</v>
      </c>
      <c r="Y25" s="7" t="n">
        <f aca="false">Inputs!$Q$6*Inputs!$Q$12</f>
        <v>64238.6703786604</v>
      </c>
      <c r="Z25" s="7" t="n">
        <f aca="false">Inputs!$R$6*Inputs!$R$12</f>
        <v>74012.2142459172</v>
      </c>
      <c r="AA25" s="7" t="n">
        <f aca="false">Inputs!$S$6*Inputs!$S$12</f>
        <v>84941.1270969832</v>
      </c>
      <c r="AB25" s="7" t="n">
        <f aca="false">Inputs!$T$6*Inputs!$T$12</f>
        <v>96511.4383892264</v>
      </c>
      <c r="AC25" s="7" t="n">
        <f aca="false">Inputs!$U$6*Inputs!$U$12</f>
        <v>108723.148122647</v>
      </c>
      <c r="AD25" s="7" t="n">
        <f aca="false">Inputs!$V$6*Inputs!$V$12</f>
        <v>121576.256297244</v>
      </c>
      <c r="AE25" s="7" t="n">
        <f aca="false">Inputs!$W$6*Inputs!$W$12</f>
        <v>135070.762913019</v>
      </c>
    </row>
    <row r="26" customFormat="false" ht="15" hidden="false" customHeight="false" outlineLevel="0" collapsed="false">
      <c r="A26" s="0" t="s">
        <v>184</v>
      </c>
      <c r="B26" s="0" t="s">
        <v>57</v>
      </c>
      <c r="C26" s="0" t="s">
        <v>178</v>
      </c>
      <c r="D26" s="15" t="n">
        <f aca="false">D25*1*Inputs!$H$24*0.9/1000000</f>
        <v>0</v>
      </c>
      <c r="E26" s="15" t="n">
        <f aca="false">E25*1*Inputs!$H$24*0.9/1000000</f>
        <v>0</v>
      </c>
      <c r="F26" s="15" t="n">
        <f aca="false">F25*1*Inputs!$H$24*0.9/1000000</f>
        <v>0</v>
      </c>
      <c r="G26" s="15" t="n">
        <f aca="false">G25*1*Inputs!$H$24*0.9/1000000</f>
        <v>0</v>
      </c>
      <c r="H26" s="15" t="n">
        <f aca="false">H25*1*Inputs!$H$24*0.9/1000000</f>
        <v>0</v>
      </c>
      <c r="I26" s="15" t="n">
        <f aca="false">I25*1*Inputs!$H$24*0.9/1000000</f>
        <v>0.0756</v>
      </c>
      <c r="J26" s="15" t="n">
        <f aca="false">J25*1*Inputs!$H$24*0.9/1000000</f>
        <v>0.1512</v>
      </c>
      <c r="K26" s="15" t="n">
        <f aca="false">K25*1*Inputs!$H$24*0.9/1000000</f>
        <v>0.1512</v>
      </c>
      <c r="L26" s="15" t="n">
        <f aca="false">L25*1*Inputs!$H$24*0.9/1000000</f>
        <v>0.3024</v>
      </c>
      <c r="M26" s="15" t="n">
        <f aca="false">M25*1*Inputs!$H$24*0.9/1000000</f>
        <v>0.504</v>
      </c>
      <c r="N26" s="15" t="n">
        <f aca="false">N25*1*Inputs!$H$24*0.9/1000000</f>
        <v>0.882</v>
      </c>
      <c r="O26" s="15" t="n">
        <f aca="false">O25*1*Inputs!$H$24*0.9/1000000</f>
        <v>1.008</v>
      </c>
      <c r="P26" s="15" t="n">
        <f aca="false">P25*Inputs!$H$18*Inputs!$H$24/1000000</f>
        <v>1.456</v>
      </c>
      <c r="Q26" s="15" t="n">
        <f aca="false">Q25*Inputs!$I$18*Inputs!$I$24/1000000</f>
        <v>2.75238953775268</v>
      </c>
      <c r="R26" s="15" t="n">
        <f aca="false">R25*Inputs!$J$18*Inputs!$J$24/1000000</f>
        <v>4.22007035181138</v>
      </c>
      <c r="S26" s="15" t="n">
        <f aca="false">S25*Inputs!$K$18*Inputs!$K$24/1000000</f>
        <v>5.86727871891374</v>
      </c>
      <c r="T26" s="15" t="n">
        <f aca="false">T25*Inputs!$L$18*Inputs!$L$24/1000000</f>
        <v>7.7022509157974</v>
      </c>
      <c r="U26" s="15" t="n">
        <f aca="false">U25*Inputs!$M$18*Inputs!$M$24/1000000</f>
        <v>9.7332232192</v>
      </c>
      <c r="V26" s="15" t="n">
        <f aca="false">V25*Inputs!$N$18*Inputs!$N$24/1000000</f>
        <v>12.4144501296779</v>
      </c>
      <c r="W26" s="15" t="n">
        <f aca="false">W25*Inputs!$O$18*Inputs!$O$24/1000000</f>
        <v>15.3626794718333</v>
      </c>
      <c r="X26" s="15" t="n">
        <f aca="false">X25*Inputs!$P$18*Inputs!$P$24/1000000</f>
        <v>18.5874005354368</v>
      </c>
      <c r="Y26" s="15" t="n">
        <f aca="false">Y25*Inputs!$Q$18*Inputs!$Q$24/1000000</f>
        <v>22.0981026102592</v>
      </c>
      <c r="Z26" s="15" t="n">
        <f aca="false">Z25*Inputs!$R$18*Inputs!$R$24/1000000</f>
        <v>25.904274986071</v>
      </c>
      <c r="AA26" s="15" t="n">
        <f aca="false">AA25*Inputs!$S$18*Inputs!$S$24/1000000</f>
        <v>30.239041246526</v>
      </c>
      <c r="AB26" s="15" t="n">
        <f aca="false">AB25*Inputs!$T$18*Inputs!$T$24/1000000</f>
        <v>34.9371406969</v>
      </c>
      <c r="AC26" s="15" t="n">
        <f aca="false">AC25*Inputs!$U$18*Inputs!$U$24/1000000</f>
        <v>40.010118509134</v>
      </c>
      <c r="AD26" s="15" t="n">
        <f aca="false">AD25*Inputs!$V$18*Inputs!$V$24/1000000</f>
        <v>45.4695198551693</v>
      </c>
      <c r="AE26" s="15" t="n">
        <f aca="false">AE25*Inputs!$W$18*Inputs!$W$24/1000000</f>
        <v>51.3268899069471</v>
      </c>
    </row>
    <row r="27" customFormat="false" ht="15" hidden="false" customHeight="false" outlineLevel="0" collapsed="false">
      <c r="A27" s="0" t="s">
        <v>184</v>
      </c>
      <c r="B27" s="0" t="s">
        <v>57</v>
      </c>
      <c r="C27" s="0" t="s">
        <v>179</v>
      </c>
      <c r="D27" s="16" t="n">
        <f aca="false">P27</f>
        <v>0.5177</v>
      </c>
      <c r="E27" s="16" t="n">
        <f aca="false">P27</f>
        <v>0.5177</v>
      </c>
      <c r="F27" s="16" t="n">
        <f aca="false">P27</f>
        <v>0.5177</v>
      </c>
      <c r="G27" s="16" t="n">
        <f aca="false">P27</f>
        <v>0.5177</v>
      </c>
      <c r="H27" s="16" t="n">
        <f aca="false">P27</f>
        <v>0.5177</v>
      </c>
      <c r="I27" s="16" t="n">
        <f aca="false">P27</f>
        <v>0.5177</v>
      </c>
      <c r="J27" s="16" t="n">
        <f aca="false">P27</f>
        <v>0.5177</v>
      </c>
      <c r="K27" s="16" t="n">
        <f aca="false">P27</f>
        <v>0.5177</v>
      </c>
      <c r="L27" s="16" t="n">
        <f aca="false">P27</f>
        <v>0.5177</v>
      </c>
      <c r="M27" s="16" t="n">
        <f aca="false">P27</f>
        <v>0.5177</v>
      </c>
      <c r="N27" s="16" t="n">
        <f aca="false">P27</f>
        <v>0.5177</v>
      </c>
      <c r="O27" s="16" t="n">
        <f aca="false">P27</f>
        <v>0.5177</v>
      </c>
      <c r="P27" s="16" t="n">
        <f aca="false">(1-0)*(Inputs!$H$30*$AH$3+(1-Inputs!$H$30)*$AH$4)</f>
        <v>0.5177</v>
      </c>
      <c r="Q27" s="16" t="n">
        <f aca="false">(1-0)*(Inputs!$I$30*$AH$3+(1-Inputs!$I$30)*$AH$4)</f>
        <v>0.51695</v>
      </c>
      <c r="R27" s="16" t="n">
        <f aca="false">(1-0)*(Inputs!$J$30*$AH$3+(1-Inputs!$J$30)*$AH$4)</f>
        <v>0.5162</v>
      </c>
      <c r="S27" s="16" t="n">
        <f aca="false">(1-0)*(Inputs!$K$30*$AH$3+(1-Inputs!$K$30)*$AH$4)</f>
        <v>0.51545</v>
      </c>
      <c r="T27" s="16" t="n">
        <f aca="false">(1-0)*(Inputs!$L$30*$AH$3+(1-Inputs!$L$30)*$AH$4)</f>
        <v>0.5147</v>
      </c>
      <c r="U27" s="16" t="n">
        <f aca="false">(1-0)*(Inputs!$M$30*$AH$3+(1-Inputs!$M$30)*$AH$4)</f>
        <v>0.51395</v>
      </c>
      <c r="V27" s="16" t="n">
        <f aca="false">(1-0)*(Inputs!$N$30*$AH$3+(1-Inputs!$N$30)*$AH$4)</f>
        <v>0.51395</v>
      </c>
      <c r="W27" s="16" t="n">
        <f aca="false">(1-0)*(Inputs!$O$30*$AH$3+(1-Inputs!$O$30)*$AH$4)</f>
        <v>0.51395</v>
      </c>
      <c r="X27" s="16" t="n">
        <f aca="false">(1-0)*(Inputs!$P$30*$AH$3+(1-Inputs!$P$30)*$AH$4)</f>
        <v>0.51395</v>
      </c>
      <c r="Y27" s="16" t="n">
        <f aca="false">(1-0)*(Inputs!$Q$30*$AH$3+(1-Inputs!$Q$30)*$AH$4)</f>
        <v>0.51395</v>
      </c>
      <c r="Z27" s="16" t="n">
        <f aca="false">(1-0)*(Inputs!$R$30*$AH$3+(1-Inputs!$R$30)*$AH$4)</f>
        <v>0.51395</v>
      </c>
      <c r="AA27" s="16" t="n">
        <f aca="false">(1-0)*(Inputs!$S$30*$AH$3+(1-Inputs!$S$30)*$AH$4)</f>
        <v>0.51395</v>
      </c>
      <c r="AB27" s="16" t="n">
        <f aca="false">(1-0)*(Inputs!$T$30*$AH$3+(1-Inputs!$T$30)*$AH$4)</f>
        <v>0.51395</v>
      </c>
      <c r="AC27" s="16" t="n">
        <f aca="false">(1-0)*(Inputs!$U$30*$AH$3+(1-Inputs!$U$30)*$AH$4)</f>
        <v>0.51395</v>
      </c>
      <c r="AD27" s="16" t="n">
        <f aca="false">(1-0)*(Inputs!$V$30*$AH$3+(1-Inputs!$V$30)*$AH$4)</f>
        <v>0.51395</v>
      </c>
      <c r="AE27" s="16" t="n">
        <f aca="false">(1-0)*(Inputs!$W$30*$AH$3+(1-Inputs!$W$30)*$AH$4)</f>
        <v>0.51395</v>
      </c>
    </row>
    <row r="28" customFormat="false" ht="15" hidden="false" customHeight="false" outlineLevel="0" collapsed="false">
      <c r="A28" s="0" t="s">
        <v>184</v>
      </c>
      <c r="B28" s="0" t="s">
        <v>57</v>
      </c>
      <c r="C28" s="0" t="s">
        <v>114</v>
      </c>
      <c r="D28" s="7" t="n">
        <f aca="false">D26*D27*1000</f>
        <v>0</v>
      </c>
      <c r="E28" s="7" t="n">
        <f aca="false">E26*E27*1000</f>
        <v>0</v>
      </c>
      <c r="F28" s="7" t="n">
        <f aca="false">F26*F27*1000</f>
        <v>0</v>
      </c>
      <c r="G28" s="7" t="n">
        <f aca="false">G26*G27*1000</f>
        <v>0</v>
      </c>
      <c r="H28" s="7" t="n">
        <f aca="false">H26*H27*1000</f>
        <v>0</v>
      </c>
      <c r="I28" s="7" t="n">
        <f aca="false">I26*I27*1000</f>
        <v>39.13812</v>
      </c>
      <c r="J28" s="7" t="n">
        <f aca="false">J26*J27*1000</f>
        <v>78.27624</v>
      </c>
      <c r="K28" s="7" t="n">
        <f aca="false">K26*K27*1000</f>
        <v>78.27624</v>
      </c>
      <c r="L28" s="7" t="n">
        <f aca="false">L26*L27*1000</f>
        <v>156.55248</v>
      </c>
      <c r="M28" s="7" t="n">
        <f aca="false">M26*M27*1000</f>
        <v>260.9208</v>
      </c>
      <c r="N28" s="7" t="n">
        <f aca="false">N26*N27*1000</f>
        <v>456.6114</v>
      </c>
      <c r="O28" s="7" t="n">
        <f aca="false">O26*O27*1000</f>
        <v>521.8416</v>
      </c>
      <c r="P28" s="7" t="n">
        <f aca="false">P26*P27*1000</f>
        <v>753.7712</v>
      </c>
      <c r="Q28" s="7" t="n">
        <f aca="false">Q26*Q27*1000</f>
        <v>1422.84777154125</v>
      </c>
      <c r="R28" s="7" t="n">
        <f aca="false">R26*R27*1000</f>
        <v>2178.40031560503</v>
      </c>
      <c r="S28" s="7" t="n">
        <f aca="false">S26*S27*1000</f>
        <v>3024.28881566409</v>
      </c>
      <c r="T28" s="7" t="n">
        <f aca="false">T26*T27*1000</f>
        <v>3964.34854636092</v>
      </c>
      <c r="U28" s="7" t="n">
        <f aca="false">U26*U27*1000</f>
        <v>5002.39007350784</v>
      </c>
      <c r="V28" s="7" t="n">
        <f aca="false">V26*V27*1000</f>
        <v>6380.40664414795</v>
      </c>
      <c r="W28" s="7" t="n">
        <f aca="false">W26*W27*1000</f>
        <v>7895.6491145487</v>
      </c>
      <c r="X28" s="7" t="n">
        <f aca="false">X26*X27*1000</f>
        <v>9552.99450518775</v>
      </c>
      <c r="Y28" s="7" t="n">
        <f aca="false">Y26*Y27*1000</f>
        <v>11357.3198365427</v>
      </c>
      <c r="Z28" s="7" t="n">
        <f aca="false">Z26*Z27*1000</f>
        <v>13313.5021290912</v>
      </c>
      <c r="AA28" s="7" t="n">
        <f aca="false">AA26*AA27*1000</f>
        <v>15541.3552486521</v>
      </c>
      <c r="AB28" s="7" t="n">
        <f aca="false">AB26*AB27*1000</f>
        <v>17955.9434611717</v>
      </c>
      <c r="AC28" s="7" t="n">
        <f aca="false">AC26*AC27*1000</f>
        <v>20563.2004077694</v>
      </c>
      <c r="AD28" s="7" t="n">
        <f aca="false">AD26*AD27*1000</f>
        <v>23369.0597295643</v>
      </c>
      <c r="AE28" s="7" t="n">
        <f aca="false">AE26*AE27*1000</f>
        <v>26379.4550676755</v>
      </c>
    </row>
    <row r="30" customFormat="false" ht="15" hidden="false" customHeight="false" outlineLevel="0" collapsed="false">
      <c r="A30" s="0" t="s">
        <v>185</v>
      </c>
      <c r="B30" s="0" t="s">
        <v>58</v>
      </c>
      <c r="C30" s="0" t="s">
        <v>85</v>
      </c>
      <c r="D30" s="7" t="n">
        <f aca="false">History!$B$8</f>
        <v>0</v>
      </c>
      <c r="E30" s="7" t="n">
        <f aca="false">History!$C$8</f>
        <v>0</v>
      </c>
      <c r="F30" s="7" t="n">
        <f aca="false">History!$D$8</f>
        <v>0</v>
      </c>
      <c r="G30" s="7" t="n">
        <f aca="false">History!$E$8</f>
        <v>0</v>
      </c>
      <c r="H30" s="7" t="n">
        <f aca="false">History!$F$8</f>
        <v>0</v>
      </c>
      <c r="I30" s="7" t="n">
        <f aca="false">History!$G$8</f>
        <v>0</v>
      </c>
      <c r="J30" s="7" t="n">
        <f aca="false">History!$H$8</f>
        <v>0</v>
      </c>
      <c r="K30" s="7" t="n">
        <f aca="false">History!$I$8</f>
        <v>0</v>
      </c>
      <c r="L30" s="7" t="n">
        <f aca="false">History!$J$8</f>
        <v>0</v>
      </c>
      <c r="M30" s="7" t="n">
        <f aca="false">History!$K$8</f>
        <v>1000</v>
      </c>
      <c r="N30" s="7" t="n">
        <f aca="false">History!$L$8</f>
        <v>3000</v>
      </c>
      <c r="O30" s="7" t="n">
        <f aca="false">History!$M$8</f>
        <v>6000</v>
      </c>
      <c r="P30" s="7" t="n">
        <f aca="false">Inputs!$H$7*Inputs!$H$13</f>
        <v>10395</v>
      </c>
      <c r="Q30" s="7" t="n">
        <f aca="false">Inputs!$I$7*Inputs!$I$13</f>
        <v>20742.1180785</v>
      </c>
      <c r="R30" s="7" t="n">
        <f aca="false">Inputs!$J$7*Inputs!$J$13</f>
        <v>32112.693577125</v>
      </c>
      <c r="S30" s="7" t="n">
        <f aca="false">Inputs!$K$7*Inputs!$K$13</f>
        <v>44506.726495875</v>
      </c>
      <c r="T30" s="7" t="n">
        <f aca="false">Inputs!$L$7*Inputs!$L$13</f>
        <v>57924.21683475</v>
      </c>
      <c r="U30" s="7" t="n">
        <f aca="false">Inputs!$M$7*Inputs!$M$13</f>
        <v>72365.16459375</v>
      </c>
      <c r="V30" s="7" t="n">
        <f aca="false">Inputs!$N$7*Inputs!$N$13</f>
        <v>99272.9357654531</v>
      </c>
      <c r="W30" s="7" t="n">
        <f aca="false">Inputs!$O$7*Inputs!$O$13</f>
        <v>128579.8862265</v>
      </c>
      <c r="X30" s="7" t="n">
        <f aca="false">Inputs!$P$7*Inputs!$P$13</f>
        <v>160286.01597689</v>
      </c>
      <c r="Y30" s="7" t="n">
        <f aca="false">Inputs!$Q$7*Inputs!$Q$13</f>
        <v>194391.325016625</v>
      </c>
      <c r="Z30" s="7" t="n">
        <f aca="false">Inputs!$R$7*Inputs!$R$13</f>
        <v>230895.813345702</v>
      </c>
      <c r="AA30" s="7" t="n">
        <f aca="false">Inputs!$S$7*Inputs!$S$13</f>
        <v>292385.117475449</v>
      </c>
      <c r="AB30" s="7" t="n">
        <f aca="false">Inputs!$T$7*Inputs!$T$13</f>
        <v>358977.802092065</v>
      </c>
      <c r="AC30" s="7" t="n">
        <f aca="false">Inputs!$U$7*Inputs!$U$13</f>
        <v>430673.867195549</v>
      </c>
      <c r="AD30" s="7" t="n">
        <f aca="false">Inputs!$V$7*Inputs!$V$13</f>
        <v>507473.312785902</v>
      </c>
      <c r="AE30" s="7" t="n">
        <f aca="false">Inputs!$W$7*Inputs!$W$13</f>
        <v>589376.138863123</v>
      </c>
    </row>
    <row r="31" customFormat="false" ht="15" hidden="false" customHeight="false" outlineLevel="0" collapsed="false">
      <c r="A31" s="0" t="s">
        <v>185</v>
      </c>
      <c r="B31" s="0" t="s">
        <v>58</v>
      </c>
      <c r="C31" s="0" t="s">
        <v>178</v>
      </c>
      <c r="D31" s="15" t="n">
        <f aca="false">D30*1*Inputs!$H$25*0.9/1000000</f>
        <v>0</v>
      </c>
      <c r="E31" s="15" t="n">
        <f aca="false">E30*1*Inputs!$H$25*0.9/1000000</f>
        <v>0</v>
      </c>
      <c r="F31" s="15" t="n">
        <f aca="false">F30*1*Inputs!$H$25*0.9/1000000</f>
        <v>0</v>
      </c>
      <c r="G31" s="15" t="n">
        <f aca="false">G30*1*Inputs!$H$25*0.9/1000000</f>
        <v>0</v>
      </c>
      <c r="H31" s="15" t="n">
        <f aca="false">H30*1*Inputs!$H$25*0.9/1000000</f>
        <v>0</v>
      </c>
      <c r="I31" s="15" t="n">
        <f aca="false">I30*1*Inputs!$H$25*0.9/1000000</f>
        <v>0</v>
      </c>
      <c r="J31" s="15" t="n">
        <f aca="false">J30*1*Inputs!$H$25*0.9/1000000</f>
        <v>0</v>
      </c>
      <c r="K31" s="15" t="n">
        <f aca="false">K30*1*Inputs!$H$25*0.9/1000000</f>
        <v>0</v>
      </c>
      <c r="L31" s="15" t="n">
        <f aca="false">L30*1*Inputs!$H$25*0.9/1000000</f>
        <v>0</v>
      </c>
      <c r="M31" s="15" t="n">
        <f aca="false">M30*1*Inputs!$H$25*0.9/1000000</f>
        <v>0.036</v>
      </c>
      <c r="N31" s="15" t="n">
        <f aca="false">N30*1*Inputs!$H$25*0.9/1000000</f>
        <v>0.108</v>
      </c>
      <c r="O31" s="15" t="n">
        <f aca="false">O30*1*Inputs!$H$25*0.9/1000000</f>
        <v>0.216</v>
      </c>
      <c r="P31" s="15" t="n">
        <f aca="false">P30*Inputs!$H$19*Inputs!$H$25/1000000</f>
        <v>0.4158</v>
      </c>
      <c r="Q31" s="15" t="n">
        <f aca="false">Q30*Inputs!$I$19*Inputs!$I$25/1000000</f>
        <v>0.912653195454</v>
      </c>
      <c r="R31" s="15" t="n">
        <f aca="false">R30*Inputs!$J$19*Inputs!$J$25/1000000</f>
        <v>1.541409291702</v>
      </c>
      <c r="S31" s="15" t="n">
        <f aca="false">S30*Inputs!$K$19*Inputs!$K$25/1000000</f>
        <v>2.3143497777855</v>
      </c>
      <c r="T31" s="15" t="n">
        <f aca="false">T30*Inputs!$L$19*Inputs!$L$25/1000000</f>
        <v>3.243756142746</v>
      </c>
      <c r="U31" s="15" t="n">
        <f aca="false">U30*Inputs!$M$19*Inputs!$M$25/1000000</f>
        <v>4.341909875625</v>
      </c>
      <c r="V31" s="15" t="n">
        <f aca="false">V30*Inputs!$N$19*Inputs!$N$25/1000000</f>
        <v>6.5520137605199</v>
      </c>
      <c r="W31" s="15" t="n">
        <f aca="false">W30*Inputs!$O$19*Inputs!$O$25/1000000</f>
        <v>9.25775180830799</v>
      </c>
      <c r="X31" s="15" t="n">
        <f aca="false">X30*Inputs!$P$19*Inputs!$P$25/1000000</f>
        <v>12.5023092461974</v>
      </c>
      <c r="Y31" s="15" t="n">
        <f aca="false">Y30*Inputs!$Q$19*Inputs!$Q$25/1000000</f>
        <v>16.3288713013965</v>
      </c>
      <c r="Z31" s="15" t="n">
        <f aca="false">Z30*Inputs!$R$19*Inputs!$R$25/1000000</f>
        <v>20.7806232011132</v>
      </c>
      <c r="AA31" s="15" t="n">
        <f aca="false">AA30*Inputs!$S$19*Inputs!$S$25/1000000</f>
        <v>28.0689712776431</v>
      </c>
      <c r="AB31" s="15" t="n">
        <f aca="false">AB30*Inputs!$T$19*Inputs!$T$25/1000000</f>
        <v>36.6157358133906</v>
      </c>
      <c r="AC31" s="15" t="n">
        <f aca="false">AC30*Inputs!$U$19*Inputs!$U$25/1000000</f>
        <v>46.5127776571193</v>
      </c>
      <c r="AD31" s="15" t="n">
        <f aca="false">AD30*Inputs!$V$19*Inputs!$V$25/1000000</f>
        <v>57.8519576575928</v>
      </c>
      <c r="AE31" s="15" t="n">
        <f aca="false">AE30*Inputs!$W$19*Inputs!$W$25/1000000</f>
        <v>70.7251366635748</v>
      </c>
    </row>
    <row r="32" customFormat="false" ht="15" hidden="false" customHeight="false" outlineLevel="0" collapsed="false">
      <c r="A32" s="0" t="s">
        <v>185</v>
      </c>
      <c r="B32" s="0" t="s">
        <v>58</v>
      </c>
      <c r="C32" s="0" t="s">
        <v>179</v>
      </c>
      <c r="D32" s="16" t="n">
        <f aca="false">P32</f>
        <v>0.5252</v>
      </c>
      <c r="E32" s="16" t="n">
        <f aca="false">P32</f>
        <v>0.5252</v>
      </c>
      <c r="F32" s="16" t="n">
        <f aca="false">P32</f>
        <v>0.5252</v>
      </c>
      <c r="G32" s="16" t="n">
        <f aca="false">P32</f>
        <v>0.5252</v>
      </c>
      <c r="H32" s="16" t="n">
        <f aca="false">P32</f>
        <v>0.5252</v>
      </c>
      <c r="I32" s="16" t="n">
        <f aca="false">P32</f>
        <v>0.5252</v>
      </c>
      <c r="J32" s="16" t="n">
        <f aca="false">P32</f>
        <v>0.5252</v>
      </c>
      <c r="K32" s="16" t="n">
        <f aca="false">P32</f>
        <v>0.5252</v>
      </c>
      <c r="L32" s="16" t="n">
        <f aca="false">P32</f>
        <v>0.5252</v>
      </c>
      <c r="M32" s="16" t="n">
        <f aca="false">P32</f>
        <v>0.5252</v>
      </c>
      <c r="N32" s="16" t="n">
        <f aca="false">P32</f>
        <v>0.5252</v>
      </c>
      <c r="O32" s="16" t="n">
        <f aca="false">P32</f>
        <v>0.5252</v>
      </c>
      <c r="P32" s="16" t="n">
        <f aca="false">(1-0)*(Inputs!$H$31*$AH$3+(1-Inputs!$H$31)*$AH$4)</f>
        <v>0.5252</v>
      </c>
      <c r="Q32" s="16" t="n">
        <f aca="false">(1-0)*(Inputs!$I$31*$AH$3+(1-Inputs!$I$31)*$AH$4)</f>
        <v>0.52445</v>
      </c>
      <c r="R32" s="16" t="n">
        <f aca="false">(1-0)*(Inputs!$J$31*$AH$3+(1-Inputs!$J$31)*$AH$4)</f>
        <v>0.5237</v>
      </c>
      <c r="S32" s="16" t="n">
        <f aca="false">(1-0)*(Inputs!$K$31*$AH$3+(1-Inputs!$K$31)*$AH$4)</f>
        <v>0.52295</v>
      </c>
      <c r="T32" s="16" t="n">
        <f aca="false">(1-0)*(Inputs!$L$31*$AH$3+(1-Inputs!$L$31)*$AH$4)</f>
        <v>0.5222</v>
      </c>
      <c r="U32" s="16" t="n">
        <f aca="false">(1-0)*(Inputs!$M$31*$AH$3+(1-Inputs!$M$31)*$AH$4)</f>
        <v>0.52145</v>
      </c>
      <c r="V32" s="16" t="n">
        <f aca="false">(1-0)*(Inputs!$N$31*$AH$3+(1-Inputs!$N$31)*$AH$4)</f>
        <v>0.5207</v>
      </c>
      <c r="W32" s="16" t="n">
        <f aca="false">(1-0)*(Inputs!$O$31*$AH$3+(1-Inputs!$O$31)*$AH$4)</f>
        <v>0.51995</v>
      </c>
      <c r="X32" s="16" t="n">
        <f aca="false">(1-0)*(Inputs!$P$31*$AH$3+(1-Inputs!$P$31)*$AH$4)</f>
        <v>0.5192</v>
      </c>
      <c r="Y32" s="16" t="n">
        <f aca="false">(1-0)*(Inputs!$Q$31*$AH$3+(1-Inputs!$Q$31)*$AH$4)</f>
        <v>0.51845</v>
      </c>
      <c r="Z32" s="16" t="n">
        <f aca="false">(1-0)*(Inputs!$R$31*$AH$3+(1-Inputs!$R$31)*$AH$4)</f>
        <v>0.5177</v>
      </c>
      <c r="AA32" s="16" t="n">
        <f aca="false">(1-0)*(Inputs!$S$31*$AH$3+(1-Inputs!$S$31)*$AH$4)</f>
        <v>0.5177</v>
      </c>
      <c r="AB32" s="16" t="n">
        <f aca="false">(1-0)*(Inputs!$T$31*$AH$3+(1-Inputs!$T$31)*$AH$4)</f>
        <v>0.5177</v>
      </c>
      <c r="AC32" s="16" t="n">
        <f aca="false">(1-0)*(Inputs!$U$31*$AH$3+(1-Inputs!$U$31)*$AH$4)</f>
        <v>0.5177</v>
      </c>
      <c r="AD32" s="16" t="n">
        <f aca="false">(1-0)*(Inputs!$V$31*$AH$3+(1-Inputs!$V$31)*$AH$4)</f>
        <v>0.5177</v>
      </c>
      <c r="AE32" s="16" t="n">
        <f aca="false">(1-0)*(Inputs!$W$31*$AH$3+(1-Inputs!$W$31)*$AH$4)</f>
        <v>0.5177</v>
      </c>
    </row>
    <row r="33" customFormat="false" ht="15" hidden="false" customHeight="false" outlineLevel="0" collapsed="false">
      <c r="A33" s="0" t="s">
        <v>185</v>
      </c>
      <c r="B33" s="0" t="s">
        <v>58</v>
      </c>
      <c r="C33" s="0" t="s">
        <v>114</v>
      </c>
      <c r="D33" s="7" t="n">
        <f aca="false">D31*D32*1000</f>
        <v>0</v>
      </c>
      <c r="E33" s="7" t="n">
        <f aca="false">E31*E32*1000</f>
        <v>0</v>
      </c>
      <c r="F33" s="7" t="n">
        <f aca="false">F31*F32*1000</f>
        <v>0</v>
      </c>
      <c r="G33" s="7" t="n">
        <f aca="false">G31*G32*1000</f>
        <v>0</v>
      </c>
      <c r="H33" s="7" t="n">
        <f aca="false">H31*H32*1000</f>
        <v>0</v>
      </c>
      <c r="I33" s="7" t="n">
        <f aca="false">I31*I32*1000</f>
        <v>0</v>
      </c>
      <c r="J33" s="7" t="n">
        <f aca="false">J31*J32*1000</f>
        <v>0</v>
      </c>
      <c r="K33" s="7" t="n">
        <f aca="false">K31*K32*1000</f>
        <v>0</v>
      </c>
      <c r="L33" s="7" t="n">
        <f aca="false">L31*L32*1000</f>
        <v>0</v>
      </c>
      <c r="M33" s="7" t="n">
        <f aca="false">M31*M32*1000</f>
        <v>18.9072</v>
      </c>
      <c r="N33" s="7" t="n">
        <f aca="false">N31*N32*1000</f>
        <v>56.7216</v>
      </c>
      <c r="O33" s="7" t="n">
        <f aca="false">O31*O32*1000</f>
        <v>113.4432</v>
      </c>
      <c r="P33" s="7" t="n">
        <f aca="false">P31*P32*1000</f>
        <v>218.37816</v>
      </c>
      <c r="Q33" s="7" t="n">
        <f aca="false">Q31*Q32*1000</f>
        <v>478.64096835585</v>
      </c>
      <c r="R33" s="7" t="n">
        <f aca="false">R31*R32*1000</f>
        <v>807.236046064337</v>
      </c>
      <c r="S33" s="7" t="n">
        <f aca="false">S31*S32*1000</f>
        <v>1210.28921629293</v>
      </c>
      <c r="T33" s="7" t="n">
        <f aca="false">T31*T32*1000</f>
        <v>1693.88945774196</v>
      </c>
      <c r="U33" s="7" t="n">
        <f aca="false">U31*U32*1000</f>
        <v>2264.08890464466</v>
      </c>
      <c r="V33" s="7" t="n">
        <f aca="false">V31*V32*1000</f>
        <v>3411.63356510271</v>
      </c>
      <c r="W33" s="7" t="n">
        <f aca="false">W31*W32*1000</f>
        <v>4813.56805272974</v>
      </c>
      <c r="X33" s="7" t="n">
        <f aca="false">X31*X32*1000</f>
        <v>6491.19896062571</v>
      </c>
      <c r="Y33" s="7" t="n">
        <f aca="false">Y31*Y32*1000</f>
        <v>8465.703326209</v>
      </c>
      <c r="Z33" s="7" t="n">
        <f aca="false">Z31*Z32*1000</f>
        <v>10758.1286312163</v>
      </c>
      <c r="AA33" s="7" t="n">
        <f aca="false">AA31*AA32*1000</f>
        <v>14531.3064304358</v>
      </c>
      <c r="AB33" s="7" t="n">
        <f aca="false">AB31*AB32*1000</f>
        <v>18955.9664305923</v>
      </c>
      <c r="AC33" s="7" t="n">
        <f aca="false">AC31*AC32*1000</f>
        <v>24079.6649930906</v>
      </c>
      <c r="AD33" s="7" t="n">
        <f aca="false">AD31*AD32*1000</f>
        <v>29949.9584793358</v>
      </c>
      <c r="AE33" s="7" t="n">
        <f aca="false">AE31*AE32*1000</f>
        <v>36614.4032507327</v>
      </c>
    </row>
    <row r="35" customFormat="false" ht="15" hidden="false" customHeight="false" outlineLevel="0" collapsed="false">
      <c r="A35" s="0" t="s">
        <v>186</v>
      </c>
      <c r="B35" s="0" t="s">
        <v>77</v>
      </c>
      <c r="C35" s="0" t="s">
        <v>187</v>
      </c>
      <c r="P35" s="17" t="n">
        <f aca="false">Inputs!$H$37</f>
        <v>4</v>
      </c>
      <c r="Q35" s="17" t="n">
        <f aca="false">Inputs!$I$37</f>
        <v>25.2</v>
      </c>
      <c r="R35" s="17" t="n">
        <f aca="false">Inputs!$J$37</f>
        <v>46.4</v>
      </c>
      <c r="S35" s="17" t="n">
        <f aca="false">Inputs!$K$37</f>
        <v>67.6</v>
      </c>
      <c r="T35" s="17" t="n">
        <f aca="false">Inputs!$L$37</f>
        <v>88.8</v>
      </c>
      <c r="U35" s="17" t="n">
        <f aca="false">Inputs!$M$37</f>
        <v>110</v>
      </c>
      <c r="V35" s="17" t="n">
        <f aca="false">Inputs!$N$37</f>
        <v>148</v>
      </c>
      <c r="W35" s="17" t="n">
        <f aca="false">Inputs!$O$37</f>
        <v>186</v>
      </c>
      <c r="X35" s="17" t="n">
        <f aca="false">Inputs!$P$37</f>
        <v>224</v>
      </c>
      <c r="Y35" s="17" t="n">
        <f aca="false">Inputs!$Q$37</f>
        <v>262</v>
      </c>
      <c r="Z35" s="17" t="n">
        <f aca="false">Inputs!$R$37</f>
        <v>300</v>
      </c>
      <c r="AA35" s="17" t="n">
        <f aca="false">Inputs!$S$37</f>
        <v>340</v>
      </c>
      <c r="AB35" s="17" t="n">
        <f aca="false">Inputs!$T$37</f>
        <v>380</v>
      </c>
      <c r="AC35" s="17" t="n">
        <f aca="false">Inputs!$U$37</f>
        <v>420</v>
      </c>
      <c r="AD35" s="17" t="n">
        <f aca="false">Inputs!$V$37</f>
        <v>460</v>
      </c>
      <c r="AE35" s="17" t="n">
        <f aca="false">Inputs!$W$37</f>
        <v>500</v>
      </c>
    </row>
    <row r="36" customFormat="false" ht="15" hidden="false" customHeight="false" outlineLevel="0" collapsed="false">
      <c r="A36" s="0" t="s">
        <v>186</v>
      </c>
      <c r="B36" s="0" t="s">
        <v>77</v>
      </c>
      <c r="C36" s="0" t="s">
        <v>188</v>
      </c>
      <c r="P36" s="15" t="n">
        <f aca="false">P35-SUM(History!$B$10:$M$10)</f>
        <v>2.59</v>
      </c>
      <c r="Q36" s="15" t="n">
        <f aca="false">MAX(0,P36+(U35-P35-5*P36)/15*(2026-2025))</f>
        <v>8.79333333333333</v>
      </c>
      <c r="R36" s="15" t="n">
        <f aca="false">MAX(0,P36+(U35-P35-5*P36)/15*(2027-2025))</f>
        <v>14.9966666666667</v>
      </c>
      <c r="S36" s="15" t="n">
        <f aca="false">MAX(0,P36+(U35-P35-5*P36)/15*(2028-2025))</f>
        <v>21.2</v>
      </c>
      <c r="T36" s="15" t="n">
        <f aca="false">MAX(0,P36+(U35-P35-5*P36)/15*(2029-2025))</f>
        <v>27.4033333333333</v>
      </c>
      <c r="U36" s="15" t="n">
        <f aca="false">MAX(0,P36+(U35-P35-5*P36)/15*(2030-2025))</f>
        <v>33.6066666666667</v>
      </c>
      <c r="V36" s="15" t="n">
        <f aca="false">MAX(0,U36+(Z35-U35-5*U36)/15*(2031-2030))</f>
        <v>35.0711111111111</v>
      </c>
      <c r="W36" s="15" t="n">
        <f aca="false">MAX(0,U36+(Z35-U35-5*U36)/15*(2032-2030))</f>
        <v>36.5355555555556</v>
      </c>
      <c r="X36" s="15" t="n">
        <f aca="false">MAX(0,U36+(Z35-U35-5*U36)/15*(2033-2030))</f>
        <v>38</v>
      </c>
      <c r="Y36" s="15" t="n">
        <f aca="false">MAX(0,U36+(Z35-U35-5*U36)/15*(2034-2030))</f>
        <v>39.4644444444444</v>
      </c>
      <c r="Z36" s="15" t="n">
        <f aca="false">MAX(0,U36+(Z35-U35-5*U36)/15*(2035-2030))</f>
        <v>40.9288888888889</v>
      </c>
      <c r="AA36" s="15" t="n">
        <f aca="false">MAX(0,Z36+(AE35-Z35-5*Z36)/15*(2036-2035))</f>
        <v>40.6192592592593</v>
      </c>
      <c r="AB36" s="15" t="n">
        <f aca="false">MAX(0,Z36+(AE35-Z35-5*Z36)/15*(2037-2035))</f>
        <v>40.3096296296296</v>
      </c>
      <c r="AC36" s="15" t="n">
        <f aca="false">MAX(0,Z36+(AE35-Z35-5*Z36)/15*(2038-2035))</f>
        <v>40</v>
      </c>
      <c r="AD36" s="15" t="n">
        <f aca="false">MAX(0,Z36+(AE35-Z35-5*Z36)/15*(2039-2035))</f>
        <v>39.6903703703704</v>
      </c>
      <c r="AE36" s="15" t="n">
        <f aca="false">MAX(0,Z36+(AE35-Z35-5*Z36)/15*(2040-2035))</f>
        <v>39.3807407407408</v>
      </c>
    </row>
    <row r="37" customFormat="false" ht="15" hidden="false" customHeight="false" outlineLevel="0" collapsed="false">
      <c r="A37" s="0" t="s">
        <v>186</v>
      </c>
      <c r="B37" s="0" t="s">
        <v>77</v>
      </c>
      <c r="C37" s="0" t="s">
        <v>189</v>
      </c>
      <c r="D37" s="15" t="n">
        <f aca="false">History!$B$10</f>
        <v>0.02</v>
      </c>
      <c r="E37" s="15" t="n">
        <f aca="false">History!$C$10</f>
        <v>0.02</v>
      </c>
      <c r="F37" s="15" t="n">
        <f aca="false">History!$D$10</f>
        <v>0.02</v>
      </c>
      <c r="G37" s="15" t="n">
        <f aca="false">History!$E$10</f>
        <v>0.02</v>
      </c>
      <c r="H37" s="15" t="n">
        <f aca="false">History!$F$10</f>
        <v>0.02</v>
      </c>
      <c r="I37" s="15" t="n">
        <f aca="false">History!$G$10</f>
        <v>0.02</v>
      </c>
      <c r="J37" s="15" t="n">
        <f aca="false">History!$H$10</f>
        <v>0.02</v>
      </c>
      <c r="K37" s="15" t="n">
        <f aca="false">History!$I$10</f>
        <v>0.02</v>
      </c>
      <c r="L37" s="15" t="n">
        <f aca="false">History!$J$10</f>
        <v>0.05</v>
      </c>
      <c r="M37" s="15" t="n">
        <f aca="false">History!$K$10</f>
        <v>0.1</v>
      </c>
      <c r="N37" s="15" t="n">
        <f aca="false">History!$L$10</f>
        <v>0.3</v>
      </c>
      <c r="O37" s="15" t="n">
        <f aca="false">History!$M$10</f>
        <v>0.8</v>
      </c>
      <c r="P37" s="15" t="n">
        <f aca="false">P36+D37</f>
        <v>2.61</v>
      </c>
      <c r="Q37" s="15" t="n">
        <f aca="false">Q36+E37</f>
        <v>8.81333333333333</v>
      </c>
      <c r="R37" s="15" t="n">
        <f aca="false">R36+F37</f>
        <v>15.0166666666667</v>
      </c>
      <c r="S37" s="15" t="n">
        <f aca="false">S36+G37</f>
        <v>21.22</v>
      </c>
      <c r="T37" s="15" t="n">
        <f aca="false">T36+H37</f>
        <v>27.4233333333333</v>
      </c>
      <c r="U37" s="15" t="n">
        <f aca="false">U36+I37</f>
        <v>33.6266666666667</v>
      </c>
      <c r="V37" s="15" t="n">
        <f aca="false">V36+J37</f>
        <v>35.0911111111111</v>
      </c>
      <c r="W37" s="15" t="n">
        <f aca="false">W36+K37</f>
        <v>36.5555555555556</v>
      </c>
      <c r="X37" s="15" t="n">
        <f aca="false">X36+L37</f>
        <v>38.05</v>
      </c>
      <c r="Y37" s="15" t="n">
        <f aca="false">Y36+M37</f>
        <v>39.5644444444444</v>
      </c>
      <c r="Z37" s="15" t="n">
        <f aca="false">Z36+N37</f>
        <v>41.2288888888889</v>
      </c>
      <c r="AA37" s="15" t="n">
        <f aca="false">AA36+O37</f>
        <v>41.4192592592593</v>
      </c>
      <c r="AB37" s="15" t="n">
        <f aca="false">AB36+P37</f>
        <v>42.9196296296296</v>
      </c>
      <c r="AC37" s="15" t="n">
        <f aca="false">AC36+Q37</f>
        <v>48.8133333333333</v>
      </c>
      <c r="AD37" s="15" t="n">
        <f aca="false">AD36+R37</f>
        <v>54.707037037037</v>
      </c>
      <c r="AE37" s="15" t="n">
        <f aca="false">AE36+S37</f>
        <v>60.6007407407408</v>
      </c>
    </row>
    <row r="38" customFormat="false" ht="15" hidden="false" customHeight="false" outlineLevel="0" collapsed="false">
      <c r="A38" s="0" t="s">
        <v>186</v>
      </c>
      <c r="B38" s="0" t="s">
        <v>77</v>
      </c>
      <c r="C38" s="0" t="s">
        <v>179</v>
      </c>
      <c r="D38" s="16" t="n">
        <f aca="false">$AH$3</f>
        <v>0.5102</v>
      </c>
      <c r="E38" s="16" t="n">
        <f aca="false">$AH$3</f>
        <v>0.5102</v>
      </c>
      <c r="F38" s="16" t="n">
        <f aca="false">$AH$3</f>
        <v>0.5102</v>
      </c>
      <c r="G38" s="16" t="n">
        <f aca="false">$AH$3</f>
        <v>0.5102</v>
      </c>
      <c r="H38" s="16" t="n">
        <f aca="false">$AH$3</f>
        <v>0.5102</v>
      </c>
      <c r="I38" s="16" t="n">
        <f aca="false">$AH$3</f>
        <v>0.5102</v>
      </c>
      <c r="J38" s="16" t="n">
        <f aca="false">$AH$3</f>
        <v>0.5102</v>
      </c>
      <c r="K38" s="16" t="n">
        <f aca="false">$AH$3</f>
        <v>0.5102</v>
      </c>
      <c r="L38" s="16" t="n">
        <f aca="false">$AH$3</f>
        <v>0.5102</v>
      </c>
      <c r="M38" s="16" t="n">
        <f aca="false">$AH$3</f>
        <v>0.5102</v>
      </c>
      <c r="N38" s="16" t="n">
        <f aca="false">$AH$3</f>
        <v>0.5102</v>
      </c>
      <c r="O38" s="16" t="n">
        <f aca="false">$AH$3</f>
        <v>0.5102</v>
      </c>
      <c r="P38" s="16" t="n">
        <f aca="false">(1-MIN(0.8,Inputs!$H$36+P3))*$AH$3</f>
        <v>0.5102</v>
      </c>
      <c r="Q38" s="16" t="n">
        <f aca="false">(1-MIN(0.8,Inputs!$I$36+Q3))*$AH$3</f>
        <v>0.5071388</v>
      </c>
      <c r="R38" s="16" t="n">
        <f aca="false">(1-MIN(0.8,Inputs!$J$36+R3))*$AH$3</f>
        <v>0.5040776</v>
      </c>
      <c r="S38" s="16" t="n">
        <f aca="false">(1-MIN(0.8,Inputs!$K$36+S3))*$AH$3</f>
        <v>0.5010164</v>
      </c>
      <c r="T38" s="16" t="n">
        <f aca="false">(1-MIN(0.8,Inputs!$L$36+T3))*$AH$3</f>
        <v>0.4979552</v>
      </c>
      <c r="U38" s="16" t="n">
        <f aca="false">(1-MIN(0.8,Inputs!$M$36+U3))*$AH$3</f>
        <v>0.494894</v>
      </c>
      <c r="V38" s="16" t="n">
        <f aca="false">(1-MIN(0.8,Inputs!$N$36+V3))*$AH$3</f>
        <v>0.489792</v>
      </c>
      <c r="W38" s="16" t="n">
        <f aca="false">(1-MIN(0.8,Inputs!$O$36+W3))*$AH$3</f>
        <v>0.48469</v>
      </c>
      <c r="X38" s="16" t="n">
        <f aca="false">(1-MIN(0.8,Inputs!$P$36+X3))*$AH$3</f>
        <v>0.479588</v>
      </c>
      <c r="Y38" s="16" t="n">
        <f aca="false">(1-MIN(0.8,Inputs!$Q$36+Y3))*$AH$3</f>
        <v>0.474486</v>
      </c>
      <c r="Z38" s="16" t="n">
        <f aca="false">(1-MIN(0.8,Inputs!$R$36+Z3))*$AH$3</f>
        <v>0.469384</v>
      </c>
      <c r="AA38" s="16" t="n">
        <f aca="false">(1-MIN(0.8,Inputs!$S$36+AA3))*$AH$3</f>
        <v>0.4653024</v>
      </c>
      <c r="AB38" s="16" t="n">
        <f aca="false">(1-MIN(0.8,Inputs!$T$36+AB3))*$AH$3</f>
        <v>0.4612208</v>
      </c>
      <c r="AC38" s="16" t="n">
        <f aca="false">(1-MIN(0.8,Inputs!$U$36+AC3))*$AH$3</f>
        <v>0.4571392</v>
      </c>
      <c r="AD38" s="16" t="n">
        <f aca="false">(1-MIN(0.8,Inputs!$V$36+AD3))*$AH$3</f>
        <v>0.4530576</v>
      </c>
      <c r="AE38" s="16" t="n">
        <f aca="false">(1-MIN(0.8,Inputs!$W$36+AE3))*$AH$3</f>
        <v>0.448976</v>
      </c>
    </row>
    <row r="39" customFormat="false" ht="15" hidden="false" customHeight="false" outlineLevel="0" collapsed="false">
      <c r="A39" s="0" t="s">
        <v>186</v>
      </c>
      <c r="B39" s="0" t="s">
        <v>77</v>
      </c>
      <c r="C39" s="0" t="s">
        <v>114</v>
      </c>
      <c r="D39" s="7" t="n">
        <f aca="false">D37*D38*1000</f>
        <v>10.204</v>
      </c>
      <c r="E39" s="7" t="n">
        <f aca="false">E37*E38*1000</f>
        <v>10.204</v>
      </c>
      <c r="F39" s="7" t="n">
        <f aca="false">F37*F38*1000</f>
        <v>10.204</v>
      </c>
      <c r="G39" s="7" t="n">
        <f aca="false">G37*G38*1000</f>
        <v>10.204</v>
      </c>
      <c r="H39" s="7" t="n">
        <f aca="false">H37*H38*1000</f>
        <v>10.204</v>
      </c>
      <c r="I39" s="7" t="n">
        <f aca="false">I37*I38*1000</f>
        <v>10.204</v>
      </c>
      <c r="J39" s="7" t="n">
        <f aca="false">J37*J38*1000</f>
        <v>10.204</v>
      </c>
      <c r="K39" s="7" t="n">
        <f aca="false">K37*K38*1000</f>
        <v>10.204</v>
      </c>
      <c r="L39" s="7" t="n">
        <f aca="false">L37*L38*1000</f>
        <v>25.51</v>
      </c>
      <c r="M39" s="7" t="n">
        <f aca="false">M37*M38*1000</f>
        <v>51.02</v>
      </c>
      <c r="N39" s="7" t="n">
        <f aca="false">N37*N38*1000</f>
        <v>153.06</v>
      </c>
      <c r="O39" s="7" t="n">
        <f aca="false">O37*O38*1000</f>
        <v>408.16</v>
      </c>
      <c r="P39" s="7" t="n">
        <f aca="false">P37*P38*1000</f>
        <v>1331.622</v>
      </c>
      <c r="Q39" s="7" t="n">
        <f aca="false">Q37*Q38*1000</f>
        <v>4469.58329066667</v>
      </c>
      <c r="R39" s="7" t="n">
        <f aca="false">R37*R38*1000</f>
        <v>7569.56529333333</v>
      </c>
      <c r="S39" s="7" t="n">
        <f aca="false">S37*S38*1000</f>
        <v>10631.568008</v>
      </c>
      <c r="T39" s="7" t="n">
        <f aca="false">T37*T38*1000</f>
        <v>13655.5914346667</v>
      </c>
      <c r="U39" s="7" t="n">
        <f aca="false">U37*U38*1000</f>
        <v>16641.6355733333</v>
      </c>
      <c r="V39" s="7" t="n">
        <f aca="false">V37*V38*1000</f>
        <v>17187.3454933333</v>
      </c>
      <c r="W39" s="7" t="n">
        <f aca="false">W37*W38*1000</f>
        <v>17718.1122222222</v>
      </c>
      <c r="X39" s="7" t="n">
        <f aca="false">X37*X38*1000</f>
        <v>18248.3234</v>
      </c>
      <c r="Y39" s="7" t="n">
        <f aca="false">Y37*Y38*1000</f>
        <v>18772.7749866667</v>
      </c>
      <c r="Z39" s="7" t="n">
        <f aca="false">Z37*Z38*1000</f>
        <v>19352.1807822222</v>
      </c>
      <c r="AA39" s="7" t="n">
        <f aca="false">AA37*AA38*1000</f>
        <v>19272.4807395556</v>
      </c>
      <c r="AB39" s="7" t="n">
        <f aca="false">AB37*AB38*1000</f>
        <v>19795.4259134815</v>
      </c>
      <c r="AC39" s="7" t="n">
        <f aca="false">AC37*AC38*1000</f>
        <v>22314.4881493333</v>
      </c>
      <c r="AD39" s="7" t="n">
        <f aca="false">AD37*AD38*1000</f>
        <v>24785.4389031111</v>
      </c>
      <c r="AE39" s="7" t="n">
        <f aca="false">AE37*AE38*1000</f>
        <v>27208.2781748148</v>
      </c>
    </row>
    <row r="41" customFormat="false" ht="15" hidden="false" customHeight="false" outlineLevel="0" collapsed="false">
      <c r="A41" s="0" t="s">
        <v>190</v>
      </c>
      <c r="B41" s="0" t="s">
        <v>86</v>
      </c>
      <c r="C41" s="0" t="s">
        <v>85</v>
      </c>
      <c r="D41" s="7" t="n">
        <f aca="false">Inputs!$H$38</f>
        <v>152000000</v>
      </c>
      <c r="E41" s="7" t="n">
        <f aca="false">Inputs!$H$38</f>
        <v>152000000</v>
      </c>
      <c r="F41" s="7" t="n">
        <f aca="false">Inputs!$H$38</f>
        <v>152000000</v>
      </c>
      <c r="G41" s="7" t="n">
        <f aca="false">Inputs!$H$38</f>
        <v>152000000</v>
      </c>
      <c r="H41" s="7" t="n">
        <f aca="false">Inputs!$H$38</f>
        <v>152000000</v>
      </c>
      <c r="I41" s="7" t="n">
        <f aca="false">Inputs!$H$38</f>
        <v>152000000</v>
      </c>
      <c r="J41" s="7" t="n">
        <f aca="false">Inputs!$H$38</f>
        <v>152000000</v>
      </c>
      <c r="K41" s="7" t="n">
        <f aca="false">Inputs!$H$38</f>
        <v>152000000</v>
      </c>
      <c r="L41" s="7" t="n">
        <f aca="false">Inputs!$H$38</f>
        <v>152000000</v>
      </c>
      <c r="M41" s="7" t="n">
        <f aca="false">Inputs!$H$38</f>
        <v>152000000</v>
      </c>
      <c r="N41" s="7" t="n">
        <f aca="false">Inputs!$H$38</f>
        <v>152000000</v>
      </c>
      <c r="O41" s="7" t="n">
        <f aca="false">Inputs!$H$38</f>
        <v>152000000</v>
      </c>
      <c r="P41" s="7" t="n">
        <f aca="false">Inputs!$H$38</f>
        <v>152000000</v>
      </c>
      <c r="Q41" s="7" t="n">
        <f aca="false">Inputs!$I$38</f>
        <v>153550705.52304</v>
      </c>
      <c r="R41" s="7" t="n">
        <f aca="false">Inputs!$J$38</f>
        <v>155101411.04608</v>
      </c>
      <c r="S41" s="7" t="n">
        <f aca="false">Inputs!$K$38</f>
        <v>156652116.56912</v>
      </c>
      <c r="T41" s="7" t="n">
        <f aca="false">Inputs!$L$38</f>
        <v>158202822.09216</v>
      </c>
      <c r="U41" s="7" t="n">
        <f aca="false">Inputs!$M$38</f>
        <v>159753527.6152</v>
      </c>
      <c r="V41" s="7" t="n">
        <f aca="false">Inputs!$N$38</f>
        <v>161383334.704661</v>
      </c>
      <c r="W41" s="7" t="n">
        <f aca="false">Inputs!$O$38</f>
        <v>163013141.794121</v>
      </c>
      <c r="X41" s="7" t="n">
        <f aca="false">Inputs!$P$38</f>
        <v>164642948.883582</v>
      </c>
      <c r="Y41" s="7" t="n">
        <f aca="false">Inputs!$Q$38</f>
        <v>166272755.973043</v>
      </c>
      <c r="Z41" s="7" t="n">
        <f aca="false">Inputs!$R$38</f>
        <v>167902563.062503</v>
      </c>
      <c r="AA41" s="7" t="n">
        <f aca="false">Inputs!$S$38</f>
        <v>169615506.69325</v>
      </c>
      <c r="AB41" s="7" t="n">
        <f aca="false">Inputs!$T$38</f>
        <v>171328450.323998</v>
      </c>
      <c r="AC41" s="7" t="n">
        <f aca="false">Inputs!$U$38</f>
        <v>173041393.954745</v>
      </c>
      <c r="AD41" s="7" t="n">
        <f aca="false">Inputs!$V$38</f>
        <v>174754337.585492</v>
      </c>
      <c r="AE41" s="7" t="n">
        <f aca="false">Inputs!$W$38</f>
        <v>176467281.21624</v>
      </c>
    </row>
    <row r="42" customFormat="false" ht="15" hidden="false" customHeight="false" outlineLevel="0" collapsed="false">
      <c r="A42" s="0" t="s">
        <v>190</v>
      </c>
      <c r="B42" s="0" t="s">
        <v>86</v>
      </c>
      <c r="C42" s="0" t="s">
        <v>178</v>
      </c>
      <c r="D42" s="15" t="n">
        <f aca="false">D41*Inputs!$H$44/1000000000</f>
        <v>2.9488</v>
      </c>
      <c r="E42" s="15" t="n">
        <f aca="false">E41*Inputs!$H$44/1000000000</f>
        <v>2.9488</v>
      </c>
      <c r="F42" s="15" t="n">
        <f aca="false">F41*Inputs!$H$44/1000000000</f>
        <v>2.9488</v>
      </c>
      <c r="G42" s="15" t="n">
        <f aca="false">G41*Inputs!$H$44/1000000000</f>
        <v>2.9488</v>
      </c>
      <c r="H42" s="15" t="n">
        <f aca="false">H41*Inputs!$H$44/1000000000</f>
        <v>2.9488</v>
      </c>
      <c r="I42" s="15" t="n">
        <f aca="false">I41*Inputs!$H$44/1000000000</f>
        <v>2.9488</v>
      </c>
      <c r="J42" s="15" t="n">
        <f aca="false">J41*Inputs!$H$44/1000000000</f>
        <v>2.9488</v>
      </c>
      <c r="K42" s="15" t="n">
        <f aca="false">K41*Inputs!$H$44/1000000000</f>
        <v>2.9488</v>
      </c>
      <c r="L42" s="15" t="n">
        <f aca="false">L41*Inputs!$H$44/1000000000</f>
        <v>2.9488</v>
      </c>
      <c r="M42" s="15" t="n">
        <f aca="false">M41*Inputs!$H$44/1000000000</f>
        <v>2.9488</v>
      </c>
      <c r="N42" s="15" t="n">
        <f aca="false">N41*Inputs!$H$44/1000000000</f>
        <v>2.9488</v>
      </c>
      <c r="O42" s="15" t="n">
        <f aca="false">O41*Inputs!$H$44/1000000000</f>
        <v>2.9488</v>
      </c>
      <c r="P42" s="15" t="n">
        <f aca="false">P41*Inputs!$H$44/1000000000</f>
        <v>2.9488</v>
      </c>
      <c r="Q42" s="15" t="n">
        <f aca="false">Q41*Inputs!$I$44/1000000000</f>
        <v>3.02801991291435</v>
      </c>
      <c r="R42" s="15" t="n">
        <f aca="false">R41*Inputs!$J$44/1000000000</f>
        <v>3.10823227736344</v>
      </c>
      <c r="S42" s="15" t="n">
        <f aca="false">S41*Inputs!$K$44/1000000000</f>
        <v>3.18943709334728</v>
      </c>
      <c r="T42" s="15" t="n">
        <f aca="false">T41*Inputs!$L$44/1000000000</f>
        <v>3.27163436086587</v>
      </c>
      <c r="U42" s="15" t="n">
        <f aca="false">U41*Inputs!$M$44/1000000000</f>
        <v>3.3548240799192</v>
      </c>
      <c r="V42" s="15" t="n">
        <f aca="false">V41*Inputs!$N$44/1000000000</f>
        <v>3.45360336267974</v>
      </c>
      <c r="W42" s="15" t="n">
        <f aca="false">W41*Inputs!$O$44/1000000000</f>
        <v>3.55368649111184</v>
      </c>
      <c r="X42" s="15" t="n">
        <f aca="false">X41*Inputs!$P$44/1000000000</f>
        <v>3.65507346521552</v>
      </c>
      <c r="Y42" s="15" t="n">
        <f aca="false">Y41*Inputs!$Q$44/1000000000</f>
        <v>3.75776428499076</v>
      </c>
      <c r="Z42" s="15" t="n">
        <f aca="false">Z41*Inputs!$R$44/1000000000</f>
        <v>3.86175895043757</v>
      </c>
      <c r="AA42" s="15" t="n">
        <f aca="false">AA41*Inputs!$S$44/1000000000</f>
        <v>3.93507975528341</v>
      </c>
      <c r="AB42" s="15" t="n">
        <f aca="false">AB41*Inputs!$T$44/1000000000</f>
        <v>4.00908573758155</v>
      </c>
      <c r="AC42" s="15" t="n">
        <f aca="false">AC41*Inputs!$U$44/1000000000</f>
        <v>4.08377689733199</v>
      </c>
      <c r="AD42" s="15" t="n">
        <f aca="false">AD41*Inputs!$V$44/1000000000</f>
        <v>4.15915323453472</v>
      </c>
      <c r="AE42" s="15" t="n">
        <f aca="false">AE41*Inputs!$W$44/1000000000</f>
        <v>4.23521474918976</v>
      </c>
    </row>
    <row r="43" customFormat="false" ht="15" hidden="false" customHeight="false" outlineLevel="0" collapsed="false">
      <c r="A43" s="0" t="s">
        <v>190</v>
      </c>
      <c r="B43" s="0" t="s">
        <v>86</v>
      </c>
      <c r="C43" s="0" t="s">
        <v>114</v>
      </c>
      <c r="D43" s="7" t="n">
        <f aca="false">D42*$AH$5*1000</f>
        <v>1943.2592</v>
      </c>
      <c r="E43" s="7" t="n">
        <f aca="false">E42*$AH$5*1000</f>
        <v>1943.2592</v>
      </c>
      <c r="F43" s="7" t="n">
        <f aca="false">F42*$AH$5*1000</f>
        <v>1943.2592</v>
      </c>
      <c r="G43" s="7" t="n">
        <f aca="false">G42*$AH$5*1000</f>
        <v>1943.2592</v>
      </c>
      <c r="H43" s="7" t="n">
        <f aca="false">H42*$AH$5*1000</f>
        <v>1943.2592</v>
      </c>
      <c r="I43" s="7" t="n">
        <f aca="false">I42*$AH$5*1000</f>
        <v>1943.2592</v>
      </c>
      <c r="J43" s="7" t="n">
        <f aca="false">J42*$AH$5*1000</f>
        <v>1943.2592</v>
      </c>
      <c r="K43" s="7" t="n">
        <f aca="false">K42*$AH$5*1000</f>
        <v>1943.2592</v>
      </c>
      <c r="L43" s="7" t="n">
        <f aca="false">L42*$AH$5*1000</f>
        <v>1943.2592</v>
      </c>
      <c r="M43" s="7" t="n">
        <f aca="false">M42*$AH$5*1000</f>
        <v>1943.2592</v>
      </c>
      <c r="N43" s="7" t="n">
        <f aca="false">N42*$AH$5*1000</f>
        <v>1943.2592</v>
      </c>
      <c r="O43" s="7" t="n">
        <f aca="false">O42*$AH$5*1000</f>
        <v>1943.2592</v>
      </c>
      <c r="P43" s="7" t="n">
        <f aca="false">P42*$AH$5*1000</f>
        <v>1943.2592</v>
      </c>
      <c r="Q43" s="7" t="n">
        <f aca="false">Q42*$AH$5*1000</f>
        <v>1995.46512261056</v>
      </c>
      <c r="R43" s="7" t="n">
        <f aca="false">R42*$AH$5*1000</f>
        <v>2048.32507078251</v>
      </c>
      <c r="S43" s="7" t="n">
        <f aca="false">S42*$AH$5*1000</f>
        <v>2101.83904451586</v>
      </c>
      <c r="T43" s="7" t="n">
        <f aca="false">T42*$AH$5*1000</f>
        <v>2156.00704381061</v>
      </c>
      <c r="U43" s="7" t="n">
        <f aca="false">U42*$AH$5*1000</f>
        <v>2210.82906866675</v>
      </c>
      <c r="V43" s="7" t="n">
        <f aca="false">V42*$AH$5*1000</f>
        <v>2275.92461600595</v>
      </c>
      <c r="W43" s="7" t="n">
        <f aca="false">W42*$AH$5*1000</f>
        <v>2341.8793976427</v>
      </c>
      <c r="X43" s="7" t="n">
        <f aca="false">X42*$AH$5*1000</f>
        <v>2408.69341357703</v>
      </c>
      <c r="Y43" s="7" t="n">
        <f aca="false">Y42*$AH$5*1000</f>
        <v>2476.36666380891</v>
      </c>
      <c r="Z43" s="7" t="n">
        <f aca="false">Z42*$AH$5*1000</f>
        <v>2544.89914833836</v>
      </c>
      <c r="AA43" s="7" t="n">
        <f aca="false">AA42*$AH$5*1000</f>
        <v>2593.21755873177</v>
      </c>
      <c r="AB43" s="7" t="n">
        <f aca="false">AB42*$AH$5*1000</f>
        <v>2641.98750106624</v>
      </c>
      <c r="AC43" s="7" t="n">
        <f aca="false">AC42*$AH$5*1000</f>
        <v>2691.20897534178</v>
      </c>
      <c r="AD43" s="7" t="n">
        <f aca="false">AD42*$AH$5*1000</f>
        <v>2740.88198155838</v>
      </c>
      <c r="AE43" s="7" t="n">
        <f aca="false">AE42*$AH$5*1000</f>
        <v>2791.00651971605</v>
      </c>
    </row>
    <row r="44" customFormat="false" ht="15" hidden="false" customHeight="false" outlineLevel="0" collapsed="false">
      <c r="A44" s="0" t="s">
        <v>191</v>
      </c>
      <c r="B44" s="0" t="s">
        <v>92</v>
      </c>
      <c r="C44" s="0" t="s">
        <v>85</v>
      </c>
      <c r="D44" s="7" t="n">
        <f aca="false">Inputs!$H$39</f>
        <v>15900000</v>
      </c>
      <c r="E44" s="7" t="n">
        <f aca="false">Inputs!$H$39</f>
        <v>15900000</v>
      </c>
      <c r="F44" s="7" t="n">
        <f aca="false">Inputs!$H$39</f>
        <v>15900000</v>
      </c>
      <c r="G44" s="7" t="n">
        <f aca="false">Inputs!$H$39</f>
        <v>15900000</v>
      </c>
      <c r="H44" s="7" t="n">
        <f aca="false">Inputs!$H$39</f>
        <v>15900000</v>
      </c>
      <c r="I44" s="7" t="n">
        <f aca="false">Inputs!$H$39</f>
        <v>15900000</v>
      </c>
      <c r="J44" s="7" t="n">
        <f aca="false">Inputs!$H$39</f>
        <v>15900000</v>
      </c>
      <c r="K44" s="7" t="n">
        <f aca="false">Inputs!$H$39</f>
        <v>15900000</v>
      </c>
      <c r="L44" s="7" t="n">
        <f aca="false">Inputs!$H$39</f>
        <v>15900000</v>
      </c>
      <c r="M44" s="7" t="n">
        <f aca="false">Inputs!$H$39</f>
        <v>15900000</v>
      </c>
      <c r="N44" s="7" t="n">
        <f aca="false">Inputs!$H$39</f>
        <v>15900000</v>
      </c>
      <c r="O44" s="7" t="n">
        <f aca="false">Inputs!$H$39</f>
        <v>15900000</v>
      </c>
      <c r="P44" s="7" t="n">
        <f aca="false">Inputs!$H$39</f>
        <v>15900000</v>
      </c>
      <c r="Q44" s="7" t="n">
        <f aca="false">Inputs!$I$39</f>
        <v>16588956.229632</v>
      </c>
      <c r="R44" s="7" t="n">
        <f aca="false">Inputs!$J$39</f>
        <v>17277912.459264</v>
      </c>
      <c r="S44" s="7" t="n">
        <f aca="false">Inputs!$K$39</f>
        <v>17966868.688896</v>
      </c>
      <c r="T44" s="7" t="n">
        <f aca="false">Inputs!$L$39</f>
        <v>18655824.918528</v>
      </c>
      <c r="U44" s="7" t="n">
        <f aca="false">Inputs!$M$39</f>
        <v>19344781.14816</v>
      </c>
      <c r="V44" s="7" t="n">
        <f aca="false">Inputs!$N$39</f>
        <v>20183001.7445683</v>
      </c>
      <c r="W44" s="7" t="n">
        <f aca="false">Inputs!$O$39</f>
        <v>21021222.3409767</v>
      </c>
      <c r="X44" s="7" t="n">
        <f aca="false">Inputs!$P$39</f>
        <v>21859442.937385</v>
      </c>
      <c r="Y44" s="7" t="n">
        <f aca="false">Inputs!$Q$39</f>
        <v>22697663.5337933</v>
      </c>
      <c r="Z44" s="7" t="n">
        <f aca="false">Inputs!$R$39</f>
        <v>23535884.1302017</v>
      </c>
      <c r="AA44" s="7" t="n">
        <f aca="false">Inputs!$S$39</f>
        <v>24555707.6516733</v>
      </c>
      <c r="AB44" s="7" t="n">
        <f aca="false">Inputs!$T$39</f>
        <v>25575531.173145</v>
      </c>
      <c r="AC44" s="7" t="n">
        <f aca="false">Inputs!$U$39</f>
        <v>26595354.6946167</v>
      </c>
      <c r="AD44" s="7" t="n">
        <f aca="false">Inputs!$V$39</f>
        <v>27615178.2160883</v>
      </c>
      <c r="AE44" s="7" t="n">
        <f aca="false">Inputs!$W$39</f>
        <v>28635001.73756</v>
      </c>
    </row>
    <row r="45" customFormat="false" ht="15" hidden="false" customHeight="false" outlineLevel="0" collapsed="false">
      <c r="A45" s="0" t="s">
        <v>191</v>
      </c>
      <c r="B45" s="0" t="s">
        <v>92</v>
      </c>
      <c r="C45" s="0" t="s">
        <v>178</v>
      </c>
      <c r="D45" s="15" t="n">
        <f aca="false">D44*Inputs!$H$45/1000000000</f>
        <v>0.795</v>
      </c>
      <c r="E45" s="15" t="n">
        <f aca="false">E44*Inputs!$H$45/1000000000</f>
        <v>0.795</v>
      </c>
      <c r="F45" s="15" t="n">
        <f aca="false">F44*Inputs!$H$45/1000000000</f>
        <v>0.795</v>
      </c>
      <c r="G45" s="15" t="n">
        <f aca="false">G44*Inputs!$H$45/1000000000</f>
        <v>0.795</v>
      </c>
      <c r="H45" s="15" t="n">
        <f aca="false">H44*Inputs!$H$45/1000000000</f>
        <v>0.795</v>
      </c>
      <c r="I45" s="15" t="n">
        <f aca="false">I44*Inputs!$H$45/1000000000</f>
        <v>0.795</v>
      </c>
      <c r="J45" s="15" t="n">
        <f aca="false">J44*Inputs!$H$45/1000000000</f>
        <v>0.795</v>
      </c>
      <c r="K45" s="15" t="n">
        <f aca="false">K44*Inputs!$H$45/1000000000</f>
        <v>0.795</v>
      </c>
      <c r="L45" s="15" t="n">
        <f aca="false">L44*Inputs!$H$45/1000000000</f>
        <v>0.795</v>
      </c>
      <c r="M45" s="15" t="n">
        <f aca="false">M44*Inputs!$H$45/1000000000</f>
        <v>0.795</v>
      </c>
      <c r="N45" s="15" t="n">
        <f aca="false">N44*Inputs!$H$45/1000000000</f>
        <v>0.795</v>
      </c>
      <c r="O45" s="15" t="n">
        <f aca="false">O44*Inputs!$H$45/1000000000</f>
        <v>0.795</v>
      </c>
      <c r="P45" s="15" t="n">
        <f aca="false">P44*Inputs!$H$45/1000000000</f>
        <v>0.795</v>
      </c>
      <c r="Q45" s="15" t="n">
        <f aca="false">Q44*Inputs!$I$45/1000000000</f>
        <v>0.836083393973453</v>
      </c>
      <c r="R45" s="15" t="n">
        <f aca="false">R44*Inputs!$J$45/1000000000</f>
        <v>0.877717952930611</v>
      </c>
      <c r="S45" s="15" t="n">
        <f aca="false">S44*Inputs!$K$45/1000000000</f>
        <v>0.919903676871475</v>
      </c>
      <c r="T45" s="15" t="n">
        <f aca="false">T44*Inputs!$L$45/1000000000</f>
        <v>0.962640565796045</v>
      </c>
      <c r="U45" s="15" t="n">
        <f aca="false">U44*Inputs!$M$45/1000000000</f>
        <v>1.00592861970432</v>
      </c>
      <c r="V45" s="15" t="n">
        <f aca="false">V44*Inputs!$N$45/1000000000</f>
        <v>1.06162589176429</v>
      </c>
      <c r="W45" s="15" t="n">
        <f aca="false">W44*Inputs!$O$45/1000000000</f>
        <v>1.11832902853996</v>
      </c>
      <c r="X45" s="15" t="n">
        <f aca="false">X44*Inputs!$P$45/1000000000</f>
        <v>1.17603803003131</v>
      </c>
      <c r="Y45" s="15" t="n">
        <f aca="false">Y44*Inputs!$Q$45/1000000000</f>
        <v>1.23475289623836</v>
      </c>
      <c r="Z45" s="15" t="n">
        <f aca="false">Z44*Inputs!$R$45/1000000000</f>
        <v>1.29447362716109</v>
      </c>
      <c r="AA45" s="15" t="n">
        <f aca="false">AA44*Inputs!$S$45/1000000000</f>
        <v>1.35056392084203</v>
      </c>
      <c r="AB45" s="15" t="n">
        <f aca="false">AB44*Inputs!$T$45/1000000000</f>
        <v>1.40665421452297</v>
      </c>
      <c r="AC45" s="15" t="n">
        <f aca="false">AC44*Inputs!$U$45/1000000000</f>
        <v>1.46274450820392</v>
      </c>
      <c r="AD45" s="15" t="n">
        <f aca="false">AD44*Inputs!$V$45/1000000000</f>
        <v>1.51883480188486</v>
      </c>
      <c r="AE45" s="15" t="n">
        <f aca="false">AE44*Inputs!$W$45/1000000000</f>
        <v>1.5749250955658</v>
      </c>
    </row>
    <row r="46" customFormat="false" ht="15" hidden="false" customHeight="false" outlineLevel="0" collapsed="false">
      <c r="A46" s="0" t="s">
        <v>191</v>
      </c>
      <c r="B46" s="0" t="s">
        <v>92</v>
      </c>
      <c r="C46" s="0" t="s">
        <v>114</v>
      </c>
      <c r="D46" s="7" t="n">
        <f aca="false">D45*$AH$4*1000</f>
        <v>465.234</v>
      </c>
      <c r="E46" s="7" t="n">
        <f aca="false">E45*$AH$4*1000</f>
        <v>465.234</v>
      </c>
      <c r="F46" s="7" t="n">
        <f aca="false">F45*$AH$4*1000</f>
        <v>465.234</v>
      </c>
      <c r="G46" s="7" t="n">
        <f aca="false">G45*$AH$4*1000</f>
        <v>465.234</v>
      </c>
      <c r="H46" s="7" t="n">
        <f aca="false">H45*$AH$4*1000</f>
        <v>465.234</v>
      </c>
      <c r="I46" s="7" t="n">
        <f aca="false">I45*$AH$4*1000</f>
        <v>465.234</v>
      </c>
      <c r="J46" s="7" t="n">
        <f aca="false">J45*$AH$4*1000</f>
        <v>465.234</v>
      </c>
      <c r="K46" s="7" t="n">
        <f aca="false">K45*$AH$4*1000</f>
        <v>465.234</v>
      </c>
      <c r="L46" s="7" t="n">
        <f aca="false">L45*$AH$4*1000</f>
        <v>465.234</v>
      </c>
      <c r="M46" s="7" t="n">
        <f aca="false">M45*$AH$4*1000</f>
        <v>465.234</v>
      </c>
      <c r="N46" s="7" t="n">
        <f aca="false">N45*$AH$4*1000</f>
        <v>465.234</v>
      </c>
      <c r="O46" s="7" t="n">
        <f aca="false">O45*$AH$4*1000</f>
        <v>465.234</v>
      </c>
      <c r="P46" s="7" t="n">
        <f aca="false">P45*$AH$4*1000</f>
        <v>465.234</v>
      </c>
      <c r="Q46" s="7" t="n">
        <f aca="false">Q45*$AH$4*1000</f>
        <v>489.276002153265</v>
      </c>
      <c r="R46" s="7" t="n">
        <f aca="false">R45*$AH$4*1000</f>
        <v>513.640546054994</v>
      </c>
      <c r="S46" s="7" t="n">
        <f aca="false">S45*$AH$4*1000</f>
        <v>538.327631705187</v>
      </c>
      <c r="T46" s="7" t="n">
        <f aca="false">T45*$AH$4*1000</f>
        <v>563.337259103845</v>
      </c>
      <c r="U46" s="7" t="n">
        <f aca="false">U45*$AH$4*1000</f>
        <v>588.669428250968</v>
      </c>
      <c r="V46" s="7" t="n">
        <f aca="false">V45*$AH$4*1000</f>
        <v>621.263471860465</v>
      </c>
      <c r="W46" s="7" t="n">
        <f aca="false">W45*$AH$4*1000</f>
        <v>654.446147501584</v>
      </c>
      <c r="X46" s="7" t="n">
        <f aca="false">X45*$AH$4*1000</f>
        <v>688.217455174325</v>
      </c>
      <c r="Y46" s="7" t="n">
        <f aca="false">Y45*$AH$4*1000</f>
        <v>722.577394878687</v>
      </c>
      <c r="Z46" s="7" t="n">
        <f aca="false">Z45*$AH$4*1000</f>
        <v>757.525966614671</v>
      </c>
      <c r="AA46" s="7" t="n">
        <f aca="false">AA45*$AH$4*1000</f>
        <v>790.350006476758</v>
      </c>
      <c r="AB46" s="7" t="n">
        <f aca="false">AB45*$AH$4*1000</f>
        <v>823.174046338845</v>
      </c>
      <c r="AC46" s="7" t="n">
        <f aca="false">AC45*$AH$4*1000</f>
        <v>855.998086200932</v>
      </c>
      <c r="AD46" s="7" t="n">
        <f aca="false">AD45*$AH$4*1000</f>
        <v>888.822126063018</v>
      </c>
      <c r="AE46" s="7" t="n">
        <f aca="false">AE45*$AH$4*1000</f>
        <v>921.646165925105</v>
      </c>
    </row>
    <row r="47" customFormat="false" ht="15" hidden="false" customHeight="false" outlineLevel="0" collapsed="false">
      <c r="A47" s="0" t="s">
        <v>192</v>
      </c>
      <c r="B47" s="0" t="s">
        <v>97</v>
      </c>
      <c r="C47" s="0" t="s">
        <v>85</v>
      </c>
      <c r="D47" s="7" t="n">
        <f aca="false">Inputs!$H$40</f>
        <v>4500000</v>
      </c>
      <c r="E47" s="7" t="n">
        <f aca="false">Inputs!$H$40</f>
        <v>4500000</v>
      </c>
      <c r="F47" s="7" t="n">
        <f aca="false">Inputs!$H$40</f>
        <v>4500000</v>
      </c>
      <c r="G47" s="7" t="n">
        <f aca="false">Inputs!$H$40</f>
        <v>4500000</v>
      </c>
      <c r="H47" s="7" t="n">
        <f aca="false">Inputs!$H$40</f>
        <v>4500000</v>
      </c>
      <c r="I47" s="7" t="n">
        <f aca="false">Inputs!$H$40</f>
        <v>4500000</v>
      </c>
      <c r="J47" s="7" t="n">
        <f aca="false">Inputs!$H$40</f>
        <v>4500000</v>
      </c>
      <c r="K47" s="7" t="n">
        <f aca="false">Inputs!$H$40</f>
        <v>4500000</v>
      </c>
      <c r="L47" s="7" t="n">
        <f aca="false">Inputs!$H$40</f>
        <v>4500000</v>
      </c>
      <c r="M47" s="7" t="n">
        <f aca="false">Inputs!$H$40</f>
        <v>4500000</v>
      </c>
      <c r="N47" s="7" t="n">
        <f aca="false">Inputs!$H$40</f>
        <v>4500000</v>
      </c>
      <c r="O47" s="7" t="n">
        <f aca="false">Inputs!$H$40</f>
        <v>4500000</v>
      </c>
      <c r="P47" s="7" t="n">
        <f aca="false">Inputs!$H$40</f>
        <v>4500000</v>
      </c>
      <c r="Q47" s="7" t="n">
        <f aca="false">Inputs!$I$40</f>
        <v>4643346.66687</v>
      </c>
      <c r="R47" s="7" t="n">
        <f aca="false">Inputs!$J$40</f>
        <v>4786693.33374</v>
      </c>
      <c r="S47" s="7" t="n">
        <f aca="false">Inputs!$K$40</f>
        <v>4930040.00061</v>
      </c>
      <c r="T47" s="7" t="n">
        <f aca="false">Inputs!$L$40</f>
        <v>5073386.66748</v>
      </c>
      <c r="U47" s="7" t="n">
        <f aca="false">Inputs!$M$40</f>
        <v>5216733.33435</v>
      </c>
      <c r="V47" s="7" t="n">
        <f aca="false">Inputs!$N$40</f>
        <v>5382911.40888971</v>
      </c>
      <c r="W47" s="7" t="n">
        <f aca="false">Inputs!$O$40</f>
        <v>5549089.48342942</v>
      </c>
      <c r="X47" s="7" t="n">
        <f aca="false">Inputs!$P$40</f>
        <v>5715267.55796913</v>
      </c>
      <c r="Y47" s="7" t="n">
        <f aca="false">Inputs!$Q$40</f>
        <v>5881445.63250884</v>
      </c>
      <c r="Z47" s="7" t="n">
        <f aca="false">Inputs!$R$40</f>
        <v>6047623.70704855</v>
      </c>
      <c r="AA47" s="7" t="n">
        <f aca="false">Inputs!$S$40</f>
        <v>6240269.64057953</v>
      </c>
      <c r="AB47" s="7" t="n">
        <f aca="false">Inputs!$T$40</f>
        <v>6432915.57411051</v>
      </c>
      <c r="AC47" s="7" t="n">
        <f aca="false">Inputs!$U$40</f>
        <v>6625561.50764149</v>
      </c>
      <c r="AD47" s="7" t="n">
        <f aca="false">Inputs!$V$40</f>
        <v>6818207.44117246</v>
      </c>
      <c r="AE47" s="7" t="n">
        <f aca="false">Inputs!$W$40</f>
        <v>7010853.37470344</v>
      </c>
    </row>
    <row r="48" customFormat="false" ht="15" hidden="false" customHeight="false" outlineLevel="0" collapsed="false">
      <c r="A48" s="0" t="s">
        <v>192</v>
      </c>
      <c r="B48" s="0" t="s">
        <v>97</v>
      </c>
      <c r="C48" s="0" t="s">
        <v>178</v>
      </c>
      <c r="D48" s="15" t="n">
        <f aca="false">D47*Inputs!$H$46/1000000000</f>
        <v>0.126</v>
      </c>
      <c r="E48" s="15" t="n">
        <f aca="false">E47*Inputs!$H$46/1000000000</f>
        <v>0.126</v>
      </c>
      <c r="F48" s="15" t="n">
        <f aca="false">F47*Inputs!$H$46/1000000000</f>
        <v>0.126</v>
      </c>
      <c r="G48" s="15" t="n">
        <f aca="false">G47*Inputs!$H$46/1000000000</f>
        <v>0.126</v>
      </c>
      <c r="H48" s="15" t="n">
        <f aca="false">H47*Inputs!$H$46/1000000000</f>
        <v>0.126</v>
      </c>
      <c r="I48" s="15" t="n">
        <f aca="false">I47*Inputs!$H$46/1000000000</f>
        <v>0.126</v>
      </c>
      <c r="J48" s="15" t="n">
        <f aca="false">J47*Inputs!$H$46/1000000000</f>
        <v>0.126</v>
      </c>
      <c r="K48" s="15" t="n">
        <f aca="false">K47*Inputs!$H$46/1000000000</f>
        <v>0.126</v>
      </c>
      <c r="L48" s="15" t="n">
        <f aca="false">L47*Inputs!$H$46/1000000000</f>
        <v>0.126</v>
      </c>
      <c r="M48" s="15" t="n">
        <f aca="false">M47*Inputs!$H$46/1000000000</f>
        <v>0.126</v>
      </c>
      <c r="N48" s="15" t="n">
        <f aca="false">N47*Inputs!$H$46/1000000000</f>
        <v>0.126</v>
      </c>
      <c r="O48" s="15" t="n">
        <f aca="false">O47*Inputs!$H$46/1000000000</f>
        <v>0.126</v>
      </c>
      <c r="P48" s="15" t="n">
        <f aca="false">P47*Inputs!$H$46/1000000000</f>
        <v>0.126</v>
      </c>
      <c r="Q48" s="15" t="n">
        <f aca="false">Q47*Inputs!$I$46/1000000000</f>
        <v>0.131871045339108</v>
      </c>
      <c r="R48" s="15" t="n">
        <f aca="false">R47*Inputs!$J$46/1000000000</f>
        <v>0.137856768011712</v>
      </c>
      <c r="S48" s="15" t="n">
        <f aca="false">S47*Inputs!$K$46/1000000000</f>
        <v>0.143957168017812</v>
      </c>
      <c r="T48" s="15" t="n">
        <f aca="false">T47*Inputs!$L$46/1000000000</f>
        <v>0.150172245357408</v>
      </c>
      <c r="U48" s="15" t="n">
        <f aca="false">U47*Inputs!$M$46/1000000000</f>
        <v>0.1565020000305</v>
      </c>
      <c r="V48" s="15" t="n">
        <f aca="false">V47*Inputs!$N$46/1000000000</f>
        <v>0.163640506830247</v>
      </c>
      <c r="W48" s="15" t="n">
        <f aca="false">W47*Inputs!$O$46/1000000000</f>
        <v>0.170911956089626</v>
      </c>
      <c r="X48" s="15" t="n">
        <f aca="false">X47*Inputs!$P$46/1000000000</f>
        <v>0.178316347808637</v>
      </c>
      <c r="Y48" s="15" t="n">
        <f aca="false">Y47*Inputs!$Q$46/1000000000</f>
        <v>0.185853681987279</v>
      </c>
      <c r="Z48" s="15" t="n">
        <f aca="false">Z47*Inputs!$R$46/1000000000</f>
        <v>0.193523958625554</v>
      </c>
      <c r="AA48" s="15" t="n">
        <f aca="false">AA47*Inputs!$S$46/1000000000</f>
        <v>0.199688628498545</v>
      </c>
      <c r="AB48" s="15" t="n">
        <f aca="false">AB47*Inputs!$T$46/1000000000</f>
        <v>0.205853298371536</v>
      </c>
      <c r="AC48" s="15" t="n">
        <f aca="false">AC47*Inputs!$U$46/1000000000</f>
        <v>0.212017968244528</v>
      </c>
      <c r="AD48" s="15" t="n">
        <f aca="false">AD47*Inputs!$V$46/1000000000</f>
        <v>0.218182638117519</v>
      </c>
      <c r="AE48" s="15" t="n">
        <f aca="false">AE47*Inputs!$W$46/1000000000</f>
        <v>0.22434730799051</v>
      </c>
    </row>
    <row r="49" customFormat="false" ht="15" hidden="false" customHeight="false" outlineLevel="0" collapsed="false">
      <c r="A49" s="0" t="s">
        <v>192</v>
      </c>
      <c r="B49" s="0" t="s">
        <v>97</v>
      </c>
      <c r="C49" s="0" t="s">
        <v>114</v>
      </c>
      <c r="D49" s="7" t="n">
        <f aca="false">D48*$AH$5*1000</f>
        <v>83.034</v>
      </c>
      <c r="E49" s="7" t="n">
        <f aca="false">E48*$AH$5*1000</f>
        <v>83.034</v>
      </c>
      <c r="F49" s="7" t="n">
        <f aca="false">F48*$AH$5*1000</f>
        <v>83.034</v>
      </c>
      <c r="G49" s="7" t="n">
        <f aca="false">G48*$AH$5*1000</f>
        <v>83.034</v>
      </c>
      <c r="H49" s="7" t="n">
        <f aca="false">H48*$AH$5*1000</f>
        <v>83.034</v>
      </c>
      <c r="I49" s="7" t="n">
        <f aca="false">I48*$AH$5*1000</f>
        <v>83.034</v>
      </c>
      <c r="J49" s="7" t="n">
        <f aca="false">J48*$AH$5*1000</f>
        <v>83.034</v>
      </c>
      <c r="K49" s="7" t="n">
        <f aca="false">K48*$AH$5*1000</f>
        <v>83.034</v>
      </c>
      <c r="L49" s="7" t="n">
        <f aca="false">L48*$AH$5*1000</f>
        <v>83.034</v>
      </c>
      <c r="M49" s="7" t="n">
        <f aca="false">M48*$AH$5*1000</f>
        <v>83.034</v>
      </c>
      <c r="N49" s="7" t="n">
        <f aca="false">N48*$AH$5*1000</f>
        <v>83.034</v>
      </c>
      <c r="O49" s="7" t="n">
        <f aca="false">O48*$AH$5*1000</f>
        <v>83.034</v>
      </c>
      <c r="P49" s="7" t="n">
        <f aca="false">P48*$AH$5*1000</f>
        <v>83.034</v>
      </c>
      <c r="Q49" s="7" t="n">
        <f aca="false">Q48*$AH$5*1000</f>
        <v>86.9030188784722</v>
      </c>
      <c r="R49" s="7" t="n">
        <f aca="false">R48*$AH$5*1000</f>
        <v>90.8476101197182</v>
      </c>
      <c r="S49" s="7" t="n">
        <f aca="false">S48*$AH$5*1000</f>
        <v>94.8677737237381</v>
      </c>
      <c r="T49" s="7" t="n">
        <f aca="false">T48*$AH$5*1000</f>
        <v>98.9635096905319</v>
      </c>
      <c r="U49" s="7" t="n">
        <f aca="false">U48*$AH$5*1000</f>
        <v>103.134818020099</v>
      </c>
      <c r="V49" s="7" t="n">
        <f aca="false">V48*$AH$5*1000</f>
        <v>107.839094001133</v>
      </c>
      <c r="W49" s="7" t="n">
        <f aca="false">W48*$AH$5*1000</f>
        <v>112.630979063064</v>
      </c>
      <c r="X49" s="7" t="n">
        <f aca="false">X48*$AH$5*1000</f>
        <v>117.510473205892</v>
      </c>
      <c r="Y49" s="7" t="n">
        <f aca="false">Y48*$AH$5*1000</f>
        <v>122.477576429617</v>
      </c>
      <c r="Z49" s="7" t="n">
        <f aca="false">Z48*$AH$5*1000</f>
        <v>127.53228873424</v>
      </c>
      <c r="AA49" s="7" t="n">
        <f aca="false">AA48*$AH$5*1000</f>
        <v>131.594806180541</v>
      </c>
      <c r="AB49" s="7" t="n">
        <f aca="false">AB48*$AH$5*1000</f>
        <v>135.657323626842</v>
      </c>
      <c r="AC49" s="7" t="n">
        <f aca="false">AC48*$AH$5*1000</f>
        <v>139.719841073144</v>
      </c>
      <c r="AD49" s="7" t="n">
        <f aca="false">AD48*$AH$5*1000</f>
        <v>143.782358519445</v>
      </c>
      <c r="AE49" s="7" t="n">
        <f aca="false">AE48*$AH$5*1000</f>
        <v>147.844875965746</v>
      </c>
    </row>
    <row r="50" customFormat="false" ht="15" hidden="false" customHeight="false" outlineLevel="0" collapsed="false">
      <c r="A50" s="0" t="s">
        <v>193</v>
      </c>
      <c r="B50" s="0" t="s">
        <v>100</v>
      </c>
      <c r="C50" s="0" t="s">
        <v>85</v>
      </c>
      <c r="D50" s="7" t="n">
        <f aca="false">Inputs!$H$41</f>
        <v>114200000</v>
      </c>
      <c r="E50" s="7" t="n">
        <f aca="false">Inputs!$H$41</f>
        <v>114200000</v>
      </c>
      <c r="F50" s="7" t="n">
        <f aca="false">Inputs!$H$41</f>
        <v>114200000</v>
      </c>
      <c r="G50" s="7" t="n">
        <f aca="false">Inputs!$H$41</f>
        <v>114200000</v>
      </c>
      <c r="H50" s="7" t="n">
        <f aca="false">Inputs!$H$41</f>
        <v>114200000</v>
      </c>
      <c r="I50" s="7" t="n">
        <f aca="false">Inputs!$H$41</f>
        <v>114200000</v>
      </c>
      <c r="J50" s="7" t="n">
        <f aca="false">Inputs!$H$41</f>
        <v>114200000</v>
      </c>
      <c r="K50" s="7" t="n">
        <f aca="false">Inputs!$H$41</f>
        <v>114200000</v>
      </c>
      <c r="L50" s="7" t="n">
        <f aca="false">Inputs!$H$41</f>
        <v>114200000</v>
      </c>
      <c r="M50" s="7" t="n">
        <f aca="false">Inputs!$H$41</f>
        <v>114200000</v>
      </c>
      <c r="N50" s="7" t="n">
        <f aca="false">Inputs!$H$41</f>
        <v>114200000</v>
      </c>
      <c r="O50" s="7" t="n">
        <f aca="false">Inputs!$H$41</f>
        <v>114200000</v>
      </c>
      <c r="P50" s="7" t="n">
        <f aca="false">Inputs!$H$41</f>
        <v>114200000</v>
      </c>
      <c r="Q50" s="7" t="n">
        <f aca="false">Inputs!$I$41</f>
        <v>115365069.544284</v>
      </c>
      <c r="R50" s="7" t="n">
        <f aca="false">Inputs!$J$41</f>
        <v>116530139.088568</v>
      </c>
      <c r="S50" s="7" t="n">
        <f aca="false">Inputs!$K$41</f>
        <v>117695208.632852</v>
      </c>
      <c r="T50" s="7" t="n">
        <f aca="false">Inputs!$L$41</f>
        <v>118860278.177136</v>
      </c>
      <c r="U50" s="7" t="n">
        <f aca="false">Inputs!$M$41</f>
        <v>120025347.72142</v>
      </c>
      <c r="V50" s="7" t="n">
        <f aca="false">Inputs!$N$41</f>
        <v>121249847.521528</v>
      </c>
      <c r="W50" s="7" t="n">
        <f aca="false">Inputs!$O$41</f>
        <v>122474347.321636</v>
      </c>
      <c r="X50" s="7" t="n">
        <f aca="false">Inputs!$P$41</f>
        <v>123698847.121744</v>
      </c>
      <c r="Y50" s="7" t="n">
        <f aca="false">Inputs!$Q$41</f>
        <v>124923346.921852</v>
      </c>
      <c r="Z50" s="7" t="n">
        <f aca="false">Inputs!$R$41</f>
        <v>126147846.72196</v>
      </c>
      <c r="AA50" s="7" t="n">
        <f aca="false">Inputs!$S$41</f>
        <v>127434808.318218</v>
      </c>
      <c r="AB50" s="7" t="n">
        <f aca="false">Inputs!$T$41</f>
        <v>128721769.914477</v>
      </c>
      <c r="AC50" s="7" t="n">
        <f aca="false">Inputs!$U$41</f>
        <v>130008731.510736</v>
      </c>
      <c r="AD50" s="7" t="n">
        <f aca="false">Inputs!$V$41</f>
        <v>131295693.106995</v>
      </c>
      <c r="AE50" s="7" t="n">
        <f aca="false">Inputs!$W$41</f>
        <v>132582654.703254</v>
      </c>
    </row>
    <row r="51" customFormat="false" ht="15" hidden="false" customHeight="false" outlineLevel="0" collapsed="false">
      <c r="A51" s="0" t="s">
        <v>193</v>
      </c>
      <c r="B51" s="0" t="s">
        <v>100</v>
      </c>
      <c r="C51" s="0" t="s">
        <v>178</v>
      </c>
      <c r="D51" s="15" t="n">
        <f aca="false">D50*Inputs!$H$47/1000000000</f>
        <v>0.08565</v>
      </c>
      <c r="E51" s="15" t="n">
        <f aca="false">E50*Inputs!$H$47/1000000000</f>
        <v>0.08565</v>
      </c>
      <c r="F51" s="15" t="n">
        <f aca="false">F50*Inputs!$H$47/1000000000</f>
        <v>0.08565</v>
      </c>
      <c r="G51" s="15" t="n">
        <f aca="false">G50*Inputs!$H$47/1000000000</f>
        <v>0.08565</v>
      </c>
      <c r="H51" s="15" t="n">
        <f aca="false">H50*Inputs!$H$47/1000000000</f>
        <v>0.08565</v>
      </c>
      <c r="I51" s="15" t="n">
        <f aca="false">I50*Inputs!$H$47/1000000000</f>
        <v>0.08565</v>
      </c>
      <c r="J51" s="15" t="n">
        <f aca="false">J50*Inputs!$H$47/1000000000</f>
        <v>0.08565</v>
      </c>
      <c r="K51" s="15" t="n">
        <f aca="false">K50*Inputs!$H$47/1000000000</f>
        <v>0.08565</v>
      </c>
      <c r="L51" s="15" t="n">
        <f aca="false">L50*Inputs!$H$47/1000000000</f>
        <v>0.08565</v>
      </c>
      <c r="M51" s="15" t="n">
        <f aca="false">M50*Inputs!$H$47/1000000000</f>
        <v>0.08565</v>
      </c>
      <c r="N51" s="15" t="n">
        <f aca="false">N50*Inputs!$H$47/1000000000</f>
        <v>0.08565</v>
      </c>
      <c r="O51" s="15" t="n">
        <f aca="false">O50*Inputs!$H$47/1000000000</f>
        <v>0.08565</v>
      </c>
      <c r="P51" s="15" t="n">
        <f aca="false">P50*Inputs!$H$47/1000000000</f>
        <v>0.08565</v>
      </c>
      <c r="Q51" s="15" t="n">
        <f aca="false">Q50*Inputs!$I$47/1000000000</f>
        <v>0.0876774528536558</v>
      </c>
      <c r="R51" s="15" t="n">
        <f aca="false">R50*Inputs!$J$47/1000000000</f>
        <v>0.0897282070981974</v>
      </c>
      <c r="S51" s="15" t="n">
        <f aca="false">S50*Inputs!$K$47/1000000000</f>
        <v>0.0918022627336246</v>
      </c>
      <c r="T51" s="15" t="n">
        <f aca="false">T50*Inputs!$L$47/1000000000</f>
        <v>0.0938996197599375</v>
      </c>
      <c r="U51" s="15" t="n">
        <f aca="false">U50*Inputs!$M$47/1000000000</f>
        <v>0.096020278177136</v>
      </c>
      <c r="V51" s="15" t="n">
        <f aca="false">V50*Inputs!$N$47/1000000000</f>
        <v>0.0994248749676529</v>
      </c>
      <c r="W51" s="15" t="n">
        <f aca="false">W50*Inputs!$O$47/1000000000</f>
        <v>0.102878451750174</v>
      </c>
      <c r="X51" s="15" t="n">
        <f aca="false">X50*Inputs!$P$47/1000000000</f>
        <v>0.1063810085247</v>
      </c>
      <c r="Y51" s="15" t="n">
        <f aca="false">Y50*Inputs!$Q$47/1000000000</f>
        <v>0.109932545291229</v>
      </c>
      <c r="Z51" s="15" t="n">
        <f aca="false">Z50*Inputs!$R$47/1000000000</f>
        <v>0.113533062049764</v>
      </c>
      <c r="AA51" s="15" t="n">
        <f aca="false">AA50*Inputs!$S$47/1000000000</f>
        <v>0.114691327486397</v>
      </c>
      <c r="AB51" s="15" t="n">
        <f aca="false">AB50*Inputs!$T$47/1000000000</f>
        <v>0.11584959292303</v>
      </c>
      <c r="AC51" s="15" t="n">
        <f aca="false">AC50*Inputs!$U$47/1000000000</f>
        <v>0.117007858359663</v>
      </c>
      <c r="AD51" s="15" t="n">
        <f aca="false">AD50*Inputs!$V$47/1000000000</f>
        <v>0.118166123796296</v>
      </c>
      <c r="AE51" s="15" t="n">
        <f aca="false">AE50*Inputs!$W$47/1000000000</f>
        <v>0.119324389232929</v>
      </c>
    </row>
    <row r="52" customFormat="false" ht="15" hidden="false" customHeight="false" outlineLevel="0" collapsed="false">
      <c r="A52" s="0" t="s">
        <v>193</v>
      </c>
      <c r="B52" s="0" t="s">
        <v>100</v>
      </c>
      <c r="C52" s="0" t="s">
        <v>114</v>
      </c>
      <c r="D52" s="7" t="n">
        <f aca="false">D51*$AH$5*1000</f>
        <v>56.44335</v>
      </c>
      <c r="E52" s="7" t="n">
        <f aca="false">E51*$AH$5*1000</f>
        <v>56.44335</v>
      </c>
      <c r="F52" s="7" t="n">
        <f aca="false">F51*$AH$5*1000</f>
        <v>56.44335</v>
      </c>
      <c r="G52" s="7" t="n">
        <f aca="false">G51*$AH$5*1000</f>
        <v>56.44335</v>
      </c>
      <c r="H52" s="7" t="n">
        <f aca="false">H51*$AH$5*1000</f>
        <v>56.44335</v>
      </c>
      <c r="I52" s="7" t="n">
        <f aca="false">I51*$AH$5*1000</f>
        <v>56.44335</v>
      </c>
      <c r="J52" s="7" t="n">
        <f aca="false">J51*$AH$5*1000</f>
        <v>56.44335</v>
      </c>
      <c r="K52" s="7" t="n">
        <f aca="false">K51*$AH$5*1000</f>
        <v>56.44335</v>
      </c>
      <c r="L52" s="7" t="n">
        <f aca="false">L51*$AH$5*1000</f>
        <v>56.44335</v>
      </c>
      <c r="M52" s="7" t="n">
        <f aca="false">M51*$AH$5*1000</f>
        <v>56.44335</v>
      </c>
      <c r="N52" s="7" t="n">
        <f aca="false">N51*$AH$5*1000</f>
        <v>56.44335</v>
      </c>
      <c r="O52" s="7" t="n">
        <f aca="false">O51*$AH$5*1000</f>
        <v>56.44335</v>
      </c>
      <c r="P52" s="7" t="n">
        <f aca="false">P51*$AH$5*1000</f>
        <v>56.44335</v>
      </c>
      <c r="Q52" s="7" t="n">
        <f aca="false">Q51*$AH$5*1000</f>
        <v>57.7794414305592</v>
      </c>
      <c r="R52" s="7" t="n">
        <f aca="false">R51*$AH$5*1000</f>
        <v>59.1308884777121</v>
      </c>
      <c r="S52" s="7" t="n">
        <f aca="false">S51*$AH$5*1000</f>
        <v>60.4976911414586</v>
      </c>
      <c r="T52" s="7" t="n">
        <f aca="false">T51*$AH$5*1000</f>
        <v>61.8798494217988</v>
      </c>
      <c r="U52" s="7" t="n">
        <f aca="false">U51*$AH$5*1000</f>
        <v>63.2773633187326</v>
      </c>
      <c r="V52" s="7" t="n">
        <f aca="false">V51*$AH$5*1000</f>
        <v>65.5209926036833</v>
      </c>
      <c r="W52" s="7" t="n">
        <f aca="false">W51*$AH$5*1000</f>
        <v>67.7968997033647</v>
      </c>
      <c r="X52" s="7" t="n">
        <f aca="false">X51*$AH$5*1000</f>
        <v>70.1050846177771</v>
      </c>
      <c r="Y52" s="7" t="n">
        <f aca="false">Y51*$AH$5*1000</f>
        <v>72.4455473469202</v>
      </c>
      <c r="Z52" s="7" t="n">
        <f aca="false">Z51*$AH$5*1000</f>
        <v>74.8182878907943</v>
      </c>
      <c r="AA52" s="7" t="n">
        <f aca="false">AA51*$AH$5*1000</f>
        <v>75.5815848135354</v>
      </c>
      <c r="AB52" s="7" t="n">
        <f aca="false">AB51*$AH$5*1000</f>
        <v>76.3448817362765</v>
      </c>
      <c r="AC52" s="7" t="n">
        <f aca="false">AC51*$AH$5*1000</f>
        <v>77.1081786590176</v>
      </c>
      <c r="AD52" s="7" t="n">
        <f aca="false">AD51*$AH$5*1000</f>
        <v>77.8714755817588</v>
      </c>
      <c r="AE52" s="7" t="n">
        <f aca="false">AE51*$AH$5*1000</f>
        <v>78.6347725044999</v>
      </c>
    </row>
    <row r="53" customFormat="false" ht="15" hidden="false" customHeight="false" outlineLevel="0" collapsed="false">
      <c r="A53" s="0" t="s">
        <v>194</v>
      </c>
      <c r="B53" s="0" t="s">
        <v>103</v>
      </c>
      <c r="C53" s="0" t="s">
        <v>85</v>
      </c>
      <c r="D53" s="7" t="n">
        <f aca="false">Inputs!$H$42</f>
        <v>25000000</v>
      </c>
      <c r="E53" s="7" t="n">
        <f aca="false">Inputs!$H$42</f>
        <v>25000000</v>
      </c>
      <c r="F53" s="7" t="n">
        <f aca="false">Inputs!$H$42</f>
        <v>25000000</v>
      </c>
      <c r="G53" s="7" t="n">
        <f aca="false">Inputs!$H$42</f>
        <v>25000000</v>
      </c>
      <c r="H53" s="7" t="n">
        <f aca="false">Inputs!$H$42</f>
        <v>25000000</v>
      </c>
      <c r="I53" s="7" t="n">
        <f aca="false">Inputs!$H$42</f>
        <v>25000000</v>
      </c>
      <c r="J53" s="7" t="n">
        <f aca="false">Inputs!$H$42</f>
        <v>25000000</v>
      </c>
      <c r="K53" s="7" t="n">
        <f aca="false">Inputs!$H$42</f>
        <v>25000000</v>
      </c>
      <c r="L53" s="7" t="n">
        <f aca="false">Inputs!$H$42</f>
        <v>25000000</v>
      </c>
      <c r="M53" s="7" t="n">
        <f aca="false">Inputs!$H$42</f>
        <v>25000000</v>
      </c>
      <c r="N53" s="7" t="n">
        <f aca="false">Inputs!$H$42</f>
        <v>25000000</v>
      </c>
      <c r="O53" s="7" t="n">
        <f aca="false">Inputs!$H$42</f>
        <v>25000000</v>
      </c>
      <c r="P53" s="7" t="n">
        <f aca="false">Inputs!$H$42</f>
        <v>25000000</v>
      </c>
      <c r="Q53" s="7" t="n">
        <f aca="false">Inputs!$I$42</f>
        <v>25520404.016</v>
      </c>
      <c r="R53" s="7" t="n">
        <f aca="false">Inputs!$J$42</f>
        <v>26040808.032</v>
      </c>
      <c r="S53" s="7" t="n">
        <f aca="false">Inputs!$K$42</f>
        <v>26561212.048</v>
      </c>
      <c r="T53" s="7" t="n">
        <f aca="false">Inputs!$L$42</f>
        <v>27081616.064</v>
      </c>
      <c r="U53" s="7" t="n">
        <f aca="false">Inputs!$M$42</f>
        <v>27602020.08</v>
      </c>
      <c r="V53" s="7" t="n">
        <f aca="false">Inputs!$N$42</f>
        <v>28176588.1639738</v>
      </c>
      <c r="W53" s="7" t="n">
        <f aca="false">Inputs!$O$42</f>
        <v>28751156.2479476</v>
      </c>
      <c r="X53" s="7" t="n">
        <f aca="false">Inputs!$P$42</f>
        <v>29325724.3319214</v>
      </c>
      <c r="Y53" s="7" t="n">
        <f aca="false">Inputs!$Q$42</f>
        <v>29900292.4158951</v>
      </c>
      <c r="Z53" s="7" t="n">
        <f aca="false">Inputs!$R$42</f>
        <v>30474860.4998689</v>
      </c>
      <c r="AA53" s="7" t="n">
        <f aca="false">Inputs!$S$42</f>
        <v>31109230.0915158</v>
      </c>
      <c r="AB53" s="7" t="n">
        <f aca="false">Inputs!$T$42</f>
        <v>31743599.6831627</v>
      </c>
      <c r="AC53" s="7" t="n">
        <f aca="false">Inputs!$U$42</f>
        <v>32377969.2748095</v>
      </c>
      <c r="AD53" s="7" t="n">
        <f aca="false">Inputs!$V$42</f>
        <v>33012338.8664564</v>
      </c>
      <c r="AE53" s="7" t="n">
        <f aca="false">Inputs!$W$42</f>
        <v>33646708.4581033</v>
      </c>
    </row>
    <row r="54" customFormat="false" ht="15" hidden="false" customHeight="false" outlineLevel="0" collapsed="false">
      <c r="A54" s="0" t="s">
        <v>194</v>
      </c>
      <c r="B54" s="0" t="s">
        <v>103</v>
      </c>
      <c r="C54" s="0" t="s">
        <v>178</v>
      </c>
      <c r="D54" s="15" t="n">
        <f aca="false">D53*Inputs!$H$48/1000000000</f>
        <v>0.925</v>
      </c>
      <c r="E54" s="15" t="n">
        <f aca="false">E53*Inputs!$H$48/1000000000</f>
        <v>0.925</v>
      </c>
      <c r="F54" s="15" t="n">
        <f aca="false">F53*Inputs!$H$48/1000000000</f>
        <v>0.925</v>
      </c>
      <c r="G54" s="15" t="n">
        <f aca="false">G53*Inputs!$H$48/1000000000</f>
        <v>0.925</v>
      </c>
      <c r="H54" s="15" t="n">
        <f aca="false">H53*Inputs!$H$48/1000000000</f>
        <v>0.925</v>
      </c>
      <c r="I54" s="15" t="n">
        <f aca="false">I53*Inputs!$H$48/1000000000</f>
        <v>0.925</v>
      </c>
      <c r="J54" s="15" t="n">
        <f aca="false">J53*Inputs!$H$48/1000000000</f>
        <v>0.925</v>
      </c>
      <c r="K54" s="15" t="n">
        <f aca="false">K53*Inputs!$H$48/1000000000</f>
        <v>0.925</v>
      </c>
      <c r="L54" s="15" t="n">
        <f aca="false">L53*Inputs!$H$48/1000000000</f>
        <v>0.925</v>
      </c>
      <c r="M54" s="15" t="n">
        <f aca="false">M53*Inputs!$H$48/1000000000</f>
        <v>0.925</v>
      </c>
      <c r="N54" s="15" t="n">
        <f aca="false">N53*Inputs!$H$48/1000000000</f>
        <v>0.925</v>
      </c>
      <c r="O54" s="15" t="n">
        <f aca="false">O53*Inputs!$H$48/1000000000</f>
        <v>0.925</v>
      </c>
      <c r="P54" s="15" t="n">
        <f aca="false">P53*Inputs!$H$48/1000000000</f>
        <v>0.925</v>
      </c>
      <c r="Q54" s="15" t="n">
        <f aca="false">Q53*Inputs!$I$48/1000000000</f>
        <v>0.9595671910016</v>
      </c>
      <c r="R54" s="15" t="n">
        <f aca="false">R53*Inputs!$J$48/1000000000</f>
        <v>0.9947588668224</v>
      </c>
      <c r="S54" s="15" t="n">
        <f aca="false">S53*Inputs!$K$48/1000000000</f>
        <v>1.0305750274624</v>
      </c>
      <c r="T54" s="15" t="n">
        <f aca="false">T53*Inputs!$L$48/1000000000</f>
        <v>1.0670156729216</v>
      </c>
      <c r="U54" s="15" t="n">
        <f aca="false">U53*Inputs!$M$48/1000000000</f>
        <v>1.1040808032</v>
      </c>
      <c r="V54" s="15" t="n">
        <f aca="false">V53*Inputs!$N$48/1000000000</f>
        <v>1.12706352655895</v>
      </c>
      <c r="W54" s="15" t="n">
        <f aca="false">W53*Inputs!$O$48/1000000000</f>
        <v>1.1500462499179</v>
      </c>
      <c r="X54" s="15" t="n">
        <f aca="false">X53*Inputs!$P$48/1000000000</f>
        <v>1.17302897327685</v>
      </c>
      <c r="Y54" s="15" t="n">
        <f aca="false">Y53*Inputs!$Q$48/1000000000</f>
        <v>1.19601169663581</v>
      </c>
      <c r="Z54" s="15" t="n">
        <f aca="false">Z53*Inputs!$R$48/1000000000</f>
        <v>1.21899441999476</v>
      </c>
      <c r="AA54" s="15" t="n">
        <f aca="false">AA53*Inputs!$S$48/1000000000</f>
        <v>1.24436920366063</v>
      </c>
      <c r="AB54" s="15" t="n">
        <f aca="false">AB53*Inputs!$T$48/1000000000</f>
        <v>1.26974398732651</v>
      </c>
      <c r="AC54" s="15" t="n">
        <f aca="false">AC53*Inputs!$U$48/1000000000</f>
        <v>1.29511877099238</v>
      </c>
      <c r="AD54" s="15" t="n">
        <f aca="false">AD53*Inputs!$V$48/1000000000</f>
        <v>1.32049355465826</v>
      </c>
      <c r="AE54" s="15" t="n">
        <f aca="false">AE53*Inputs!$W$48/1000000000</f>
        <v>1.34586833832413</v>
      </c>
    </row>
    <row r="55" customFormat="false" ht="15" hidden="false" customHeight="false" outlineLevel="0" collapsed="false">
      <c r="A55" s="0" t="s">
        <v>194</v>
      </c>
      <c r="B55" s="0" t="s">
        <v>103</v>
      </c>
      <c r="C55" s="0" t="s">
        <v>114</v>
      </c>
      <c r="D55" s="7" t="n">
        <f aca="false">D54*$AH$4*1000</f>
        <v>541.31</v>
      </c>
      <c r="E55" s="7" t="n">
        <f aca="false">E54*$AH$4*1000</f>
        <v>541.31</v>
      </c>
      <c r="F55" s="7" t="n">
        <f aca="false">F54*$AH$4*1000</f>
        <v>541.31</v>
      </c>
      <c r="G55" s="7" t="n">
        <f aca="false">G54*$AH$4*1000</f>
        <v>541.31</v>
      </c>
      <c r="H55" s="7" t="n">
        <f aca="false">H54*$AH$4*1000</f>
        <v>541.31</v>
      </c>
      <c r="I55" s="7" t="n">
        <f aca="false">I54*$AH$4*1000</f>
        <v>541.31</v>
      </c>
      <c r="J55" s="7" t="n">
        <f aca="false">J54*$AH$4*1000</f>
        <v>541.31</v>
      </c>
      <c r="K55" s="7" t="n">
        <f aca="false">K54*$AH$4*1000</f>
        <v>541.31</v>
      </c>
      <c r="L55" s="7" t="n">
        <f aca="false">L54*$AH$4*1000</f>
        <v>541.31</v>
      </c>
      <c r="M55" s="7" t="n">
        <f aca="false">M54*$AH$4*1000</f>
        <v>541.31</v>
      </c>
      <c r="N55" s="7" t="n">
        <f aca="false">N54*$AH$4*1000</f>
        <v>541.31</v>
      </c>
      <c r="O55" s="7" t="n">
        <f aca="false">O54*$AH$4*1000</f>
        <v>541.31</v>
      </c>
      <c r="P55" s="7" t="n">
        <f aca="false">P54*$AH$4*1000</f>
        <v>541.31</v>
      </c>
      <c r="Q55" s="7" t="n">
        <f aca="false">Q54*$AH$4*1000</f>
        <v>561.538720174136</v>
      </c>
      <c r="R55" s="7" t="n">
        <f aca="false">R54*$AH$4*1000</f>
        <v>582.132888864469</v>
      </c>
      <c r="S55" s="7" t="n">
        <f aca="false">S54*$AH$4*1000</f>
        <v>603.092506070997</v>
      </c>
      <c r="T55" s="7" t="n">
        <f aca="false">T54*$AH$4*1000</f>
        <v>624.41757179372</v>
      </c>
      <c r="U55" s="7" t="n">
        <f aca="false">U54*$AH$4*1000</f>
        <v>646.10808603264</v>
      </c>
      <c r="V55" s="7" t="n">
        <f aca="false">V54*$AH$4*1000</f>
        <v>659.557575742299</v>
      </c>
      <c r="W55" s="7" t="n">
        <f aca="false">W54*$AH$4*1000</f>
        <v>673.007065451957</v>
      </c>
      <c r="X55" s="7" t="n">
        <f aca="false">X54*$AH$4*1000</f>
        <v>686.456555161615</v>
      </c>
      <c r="Y55" s="7" t="n">
        <f aca="false">Y54*$AH$4*1000</f>
        <v>699.906044871274</v>
      </c>
      <c r="Z55" s="7" t="n">
        <f aca="false">Z54*$AH$4*1000</f>
        <v>713.355534580932</v>
      </c>
      <c r="AA55" s="7" t="n">
        <f aca="false">AA54*$AH$4*1000</f>
        <v>728.204857982202</v>
      </c>
      <c r="AB55" s="7" t="n">
        <f aca="false">AB54*$AH$4*1000</f>
        <v>743.054181383472</v>
      </c>
      <c r="AC55" s="7" t="n">
        <f aca="false">AC54*$AH$4*1000</f>
        <v>757.903504784741</v>
      </c>
      <c r="AD55" s="7" t="n">
        <f aca="false">AD54*$AH$4*1000</f>
        <v>772.752828186011</v>
      </c>
      <c r="AE55" s="7" t="n">
        <f aca="false">AE54*$AH$4*1000</f>
        <v>787.602151587281</v>
      </c>
    </row>
    <row r="56" customFormat="false" ht="15" hidden="false" customHeight="false" outlineLevel="0" collapsed="false">
      <c r="A56" s="0" t="s">
        <v>195</v>
      </c>
      <c r="B56" s="0" t="s">
        <v>104</v>
      </c>
      <c r="C56" s="0" t="s">
        <v>85</v>
      </c>
      <c r="D56" s="7" t="n">
        <f aca="false">Inputs!$H$43</f>
        <v>90000000</v>
      </c>
      <c r="E56" s="7" t="n">
        <f aca="false">Inputs!$H$43</f>
        <v>90000000</v>
      </c>
      <c r="F56" s="7" t="n">
        <f aca="false">Inputs!$H$43</f>
        <v>90000000</v>
      </c>
      <c r="G56" s="7" t="n">
        <f aca="false">Inputs!$H$43</f>
        <v>90000000</v>
      </c>
      <c r="H56" s="7" t="n">
        <f aca="false">Inputs!$H$43</f>
        <v>90000000</v>
      </c>
      <c r="I56" s="7" t="n">
        <f aca="false">Inputs!$H$43</f>
        <v>90000000</v>
      </c>
      <c r="J56" s="7" t="n">
        <f aca="false">Inputs!$H$43</f>
        <v>90000000</v>
      </c>
      <c r="K56" s="7" t="n">
        <f aca="false">Inputs!$H$43</f>
        <v>90000000</v>
      </c>
      <c r="L56" s="7" t="n">
        <f aca="false">Inputs!$H$43</f>
        <v>90000000</v>
      </c>
      <c r="M56" s="7" t="n">
        <f aca="false">Inputs!$H$43</f>
        <v>90000000</v>
      </c>
      <c r="N56" s="7" t="n">
        <f aca="false">Inputs!$H$43</f>
        <v>90000000</v>
      </c>
      <c r="O56" s="7" t="n">
        <f aca="false">Inputs!$H$43</f>
        <v>90000000</v>
      </c>
      <c r="P56" s="7" t="n">
        <f aca="false">Inputs!$H$43</f>
        <v>90000000</v>
      </c>
      <c r="Q56" s="7" t="n">
        <f aca="false">Inputs!$I$43</f>
        <v>97245931.1526</v>
      </c>
      <c r="R56" s="7" t="n">
        <f aca="false">Inputs!$J$43</f>
        <v>104491862.3052</v>
      </c>
      <c r="S56" s="7" t="n">
        <f aca="false">Inputs!$K$43</f>
        <v>111737793.4578</v>
      </c>
      <c r="T56" s="7" t="n">
        <f aca="false">Inputs!$L$43</f>
        <v>118983724.6104</v>
      </c>
      <c r="U56" s="7" t="n">
        <f aca="false">Inputs!$M$43</f>
        <v>126229655.763</v>
      </c>
      <c r="V56" s="7" t="n">
        <f aca="false">Inputs!$N$43</f>
        <v>136392449.041612</v>
      </c>
      <c r="W56" s="7" t="n">
        <f aca="false">Inputs!$O$43</f>
        <v>146555242.320224</v>
      </c>
      <c r="X56" s="7" t="n">
        <f aca="false">Inputs!$P$43</f>
        <v>156718035.598837</v>
      </c>
      <c r="Y56" s="7" t="n">
        <f aca="false">Inputs!$Q$43</f>
        <v>166880828.877449</v>
      </c>
      <c r="Z56" s="7" t="n">
        <f aca="false">Inputs!$R$43</f>
        <v>177043622.156061</v>
      </c>
      <c r="AA56" s="7" t="n">
        <f aca="false">Inputs!$S$43</f>
        <v>191297465.457725</v>
      </c>
      <c r="AB56" s="7" t="n">
        <f aca="false">Inputs!$T$43</f>
        <v>205551308.759389</v>
      </c>
      <c r="AC56" s="7" t="n">
        <f aca="false">Inputs!$U$43</f>
        <v>219805152.061053</v>
      </c>
      <c r="AD56" s="7" t="n">
        <f aca="false">Inputs!$V$43</f>
        <v>234058995.362716</v>
      </c>
      <c r="AE56" s="7" t="n">
        <f aca="false">Inputs!$W$43</f>
        <v>248312838.66438</v>
      </c>
    </row>
    <row r="57" customFormat="false" ht="15" hidden="false" customHeight="false" outlineLevel="0" collapsed="false">
      <c r="A57" s="0" t="s">
        <v>195</v>
      </c>
      <c r="B57" s="0" t="s">
        <v>104</v>
      </c>
      <c r="C57" s="0" t="s">
        <v>178</v>
      </c>
      <c r="D57" s="15" t="n">
        <f aca="false">D56*Inputs!$H$49/1000000000</f>
        <v>1.746</v>
      </c>
      <c r="E57" s="15" t="n">
        <f aca="false">E56*Inputs!$H$49/1000000000</f>
        <v>1.746</v>
      </c>
      <c r="F57" s="15" t="n">
        <f aca="false">F56*Inputs!$H$49/1000000000</f>
        <v>1.746</v>
      </c>
      <c r="G57" s="15" t="n">
        <f aca="false">G56*Inputs!$H$49/1000000000</f>
        <v>1.746</v>
      </c>
      <c r="H57" s="15" t="n">
        <f aca="false">H56*Inputs!$H$49/1000000000</f>
        <v>1.746</v>
      </c>
      <c r="I57" s="15" t="n">
        <f aca="false">I56*Inputs!$H$49/1000000000</f>
        <v>1.746</v>
      </c>
      <c r="J57" s="15" t="n">
        <f aca="false">J56*Inputs!$H$49/1000000000</f>
        <v>1.746</v>
      </c>
      <c r="K57" s="15" t="n">
        <f aca="false">K56*Inputs!$H$49/1000000000</f>
        <v>1.746</v>
      </c>
      <c r="L57" s="15" t="n">
        <f aca="false">L56*Inputs!$H$49/1000000000</f>
        <v>1.746</v>
      </c>
      <c r="M57" s="15" t="n">
        <f aca="false">M56*Inputs!$H$49/1000000000</f>
        <v>1.746</v>
      </c>
      <c r="N57" s="15" t="n">
        <f aca="false">N56*Inputs!$H$49/1000000000</f>
        <v>1.746</v>
      </c>
      <c r="O57" s="15" t="n">
        <f aca="false">O56*Inputs!$H$49/1000000000</f>
        <v>1.746</v>
      </c>
      <c r="P57" s="15" t="n">
        <f aca="false">P56*Inputs!$H$49/1000000000</f>
        <v>1.746</v>
      </c>
      <c r="Q57" s="15" t="n">
        <f aca="false">Q56*Inputs!$I$49/1000000000</f>
        <v>1.91768976232927</v>
      </c>
      <c r="R57" s="15" t="n">
        <f aca="false">R56*Inputs!$J$49/1000000000</f>
        <v>2.09401692059621</v>
      </c>
      <c r="S57" s="15" t="n">
        <f aca="false">S56*Inputs!$K$49/1000000000</f>
        <v>2.27498147480081</v>
      </c>
      <c r="T57" s="15" t="n">
        <f aca="false">T56*Inputs!$L$49/1000000000</f>
        <v>2.46058342494307</v>
      </c>
      <c r="U57" s="15" t="n">
        <f aca="false">U56*Inputs!$M$49/1000000000</f>
        <v>2.650822771023</v>
      </c>
      <c r="V57" s="15" t="n">
        <f aca="false">V56*Inputs!$N$49/1000000000</f>
        <v>2.9187984094905</v>
      </c>
      <c r="W57" s="15" t="n">
        <f aca="false">W56*Inputs!$O$49/1000000000</f>
        <v>3.19490428258089</v>
      </c>
      <c r="X57" s="15" t="n">
        <f aca="false">X56*Inputs!$P$49/1000000000</f>
        <v>3.47914039029417</v>
      </c>
      <c r="Y57" s="15" t="n">
        <f aca="false">Y56*Inputs!$Q$49/1000000000</f>
        <v>3.77150673263034</v>
      </c>
      <c r="Z57" s="15" t="n">
        <f aca="false">Z56*Inputs!$R$49/1000000000</f>
        <v>4.0720033095894</v>
      </c>
      <c r="AA57" s="15" t="n">
        <f aca="false">AA56*Inputs!$S$49/1000000000</f>
        <v>4.43810119861922</v>
      </c>
      <c r="AB57" s="15" t="n">
        <f aca="false">AB56*Inputs!$T$49/1000000000</f>
        <v>4.8099006249697</v>
      </c>
      <c r="AC57" s="15" t="n">
        <f aca="false">AC56*Inputs!$U$49/1000000000</f>
        <v>5.18740158864084</v>
      </c>
      <c r="AD57" s="15" t="n">
        <f aca="false">AD56*Inputs!$V$49/1000000000</f>
        <v>5.57060408963265</v>
      </c>
      <c r="AE57" s="15" t="n">
        <f aca="false">AE56*Inputs!$W$49/1000000000</f>
        <v>5.95950812794513</v>
      </c>
    </row>
    <row r="58" customFormat="false" ht="15" hidden="false" customHeight="false" outlineLevel="0" collapsed="false">
      <c r="A58" s="0" t="s">
        <v>195</v>
      </c>
      <c r="B58" s="0" t="s">
        <v>104</v>
      </c>
      <c r="C58" s="0" t="s">
        <v>114</v>
      </c>
      <c r="D58" s="7" t="n">
        <f aca="false">D57*$AH$5*1000</f>
        <v>1150.614</v>
      </c>
      <c r="E58" s="7" t="n">
        <f aca="false">E57*$AH$5*1000</f>
        <v>1150.614</v>
      </c>
      <c r="F58" s="7" t="n">
        <f aca="false">F57*$AH$5*1000</f>
        <v>1150.614</v>
      </c>
      <c r="G58" s="7" t="n">
        <f aca="false">G57*$AH$5*1000</f>
        <v>1150.614</v>
      </c>
      <c r="H58" s="7" t="n">
        <f aca="false">H57*$AH$5*1000</f>
        <v>1150.614</v>
      </c>
      <c r="I58" s="7" t="n">
        <f aca="false">I57*$AH$5*1000</f>
        <v>1150.614</v>
      </c>
      <c r="J58" s="7" t="n">
        <f aca="false">J57*$AH$5*1000</f>
        <v>1150.614</v>
      </c>
      <c r="K58" s="7" t="n">
        <f aca="false">K57*$AH$5*1000</f>
        <v>1150.614</v>
      </c>
      <c r="L58" s="7" t="n">
        <f aca="false">L57*$AH$5*1000</f>
        <v>1150.614</v>
      </c>
      <c r="M58" s="7" t="n">
        <f aca="false">M57*$AH$5*1000</f>
        <v>1150.614</v>
      </c>
      <c r="N58" s="7" t="n">
        <f aca="false">N57*$AH$5*1000</f>
        <v>1150.614</v>
      </c>
      <c r="O58" s="7" t="n">
        <f aca="false">O57*$AH$5*1000</f>
        <v>1150.614</v>
      </c>
      <c r="P58" s="7" t="n">
        <f aca="false">P57*$AH$5*1000</f>
        <v>1150.614</v>
      </c>
      <c r="Q58" s="7" t="n">
        <f aca="false">Q57*$AH$5*1000</f>
        <v>1263.75755337499</v>
      </c>
      <c r="R58" s="7" t="n">
        <f aca="false">R57*$AH$5*1000</f>
        <v>1379.9571506729</v>
      </c>
      <c r="S58" s="7" t="n">
        <f aca="false">S57*$AH$5*1000</f>
        <v>1499.21279189373</v>
      </c>
      <c r="T58" s="7" t="n">
        <f aca="false">T57*$AH$5*1000</f>
        <v>1621.52447703748</v>
      </c>
      <c r="U58" s="7" t="n">
        <f aca="false">U57*$AH$5*1000</f>
        <v>1746.89220610416</v>
      </c>
      <c r="V58" s="7" t="n">
        <f aca="false">V57*$AH$5*1000</f>
        <v>1923.48815185424</v>
      </c>
      <c r="W58" s="7" t="n">
        <f aca="false">W57*$AH$5*1000</f>
        <v>2105.44192222081</v>
      </c>
      <c r="X58" s="7" t="n">
        <f aca="false">X57*$AH$5*1000</f>
        <v>2292.75351720386</v>
      </c>
      <c r="Y58" s="7" t="n">
        <f aca="false">Y57*$AH$5*1000</f>
        <v>2485.4229368034</v>
      </c>
      <c r="Z58" s="7" t="n">
        <f aca="false">Z57*$AH$5*1000</f>
        <v>2683.45018101942</v>
      </c>
      <c r="AA58" s="7" t="n">
        <f aca="false">AA57*$AH$5*1000</f>
        <v>2924.70868989006</v>
      </c>
      <c r="AB58" s="7" t="n">
        <f aca="false">AB57*$AH$5*1000</f>
        <v>3169.72451185503</v>
      </c>
      <c r="AC58" s="7" t="n">
        <f aca="false">AC57*$AH$5*1000</f>
        <v>3418.49764691431</v>
      </c>
      <c r="AD58" s="7" t="n">
        <f aca="false">AD57*$AH$5*1000</f>
        <v>3671.02809506792</v>
      </c>
      <c r="AE58" s="7" t="n">
        <f aca="false">AE57*$AH$5*1000</f>
        <v>3927.31585631584</v>
      </c>
    </row>
    <row r="60" customFormat="false" ht="15" hidden="false" customHeight="false" outlineLevel="0" collapsed="false">
      <c r="A60" s="0" t="s">
        <v>19</v>
      </c>
      <c r="B60" s="0" t="s">
        <v>113</v>
      </c>
      <c r="C60" s="0" t="s">
        <v>114</v>
      </c>
      <c r="P60" s="7" t="n">
        <f aca="false">Inputs!$H$50</f>
        <v>150</v>
      </c>
      <c r="Q60" s="7" t="n">
        <f aca="false">Inputs!$I$50</f>
        <v>164.079842304</v>
      </c>
      <c r="R60" s="7" t="n">
        <f aca="false">Inputs!$J$50</f>
        <v>178.159684608</v>
      </c>
      <c r="S60" s="7" t="n">
        <f aca="false">Inputs!$K$50</f>
        <v>192.239526912</v>
      </c>
      <c r="T60" s="7" t="n">
        <f aca="false">Inputs!$L$50</f>
        <v>206.319369216</v>
      </c>
      <c r="U60" s="7" t="n">
        <f aca="false">Inputs!$M$50</f>
        <v>220.39921152</v>
      </c>
      <c r="V60" s="7" t="n">
        <f aca="false">Inputs!$N$50</f>
        <v>241.087119134184</v>
      </c>
      <c r="W60" s="7" t="n">
        <f aca="false">Inputs!$O$50</f>
        <v>261.775026748367</v>
      </c>
      <c r="X60" s="7" t="n">
        <f aca="false">Inputs!$P$50</f>
        <v>282.462934362551</v>
      </c>
      <c r="Y60" s="7" t="n">
        <f aca="false">Inputs!$Q$50</f>
        <v>303.150841976735</v>
      </c>
      <c r="Z60" s="7" t="n">
        <f aca="false">Inputs!$R$50</f>
        <v>323.838749590918</v>
      </c>
      <c r="AA60" s="7" t="n">
        <f aca="false">Inputs!$S$50</f>
        <v>354.236073098683</v>
      </c>
      <c r="AB60" s="7" t="n">
        <f aca="false">Inputs!$T$50</f>
        <v>384.633396606447</v>
      </c>
      <c r="AC60" s="7" t="n">
        <f aca="false">Inputs!$U$50</f>
        <v>415.030720114212</v>
      </c>
      <c r="AD60" s="7" t="n">
        <f aca="false">Inputs!$V$50</f>
        <v>445.428043621976</v>
      </c>
      <c r="AE60" s="7" t="n">
        <f aca="false">Inputs!$W$50</f>
        <v>475.825367129741</v>
      </c>
    </row>
    <row r="61" customFormat="false" ht="15" hidden="false" customHeight="false" outlineLevel="0" collapsed="false">
      <c r="A61" s="0" t="s">
        <v>196</v>
      </c>
      <c r="B61" s="0" t="s">
        <v>118</v>
      </c>
      <c r="C61" s="0" t="s">
        <v>114</v>
      </c>
      <c r="P61" s="7" t="n">
        <f aca="false">Inputs!$H$51</f>
        <v>1080.5</v>
      </c>
      <c r="Q61" s="7" t="n">
        <f aca="false">Inputs!$I$51</f>
        <v>1140.20444565625</v>
      </c>
      <c r="R61" s="7" t="n">
        <f aca="false">Inputs!$J$51</f>
        <v>1199.9088913125</v>
      </c>
      <c r="S61" s="7" t="n">
        <f aca="false">Inputs!$K$51</f>
        <v>1259.61333696875</v>
      </c>
      <c r="T61" s="7" t="n">
        <f aca="false">Inputs!$L$51</f>
        <v>1319.317782625</v>
      </c>
      <c r="U61" s="7" t="n">
        <f aca="false">Inputs!$M$51</f>
        <v>1379.02222828125</v>
      </c>
      <c r="V61" s="7" t="n">
        <f aca="false">Inputs!$N$51</f>
        <v>1455.22191147161</v>
      </c>
      <c r="W61" s="7" t="n">
        <f aca="false">Inputs!$O$51</f>
        <v>1531.42159466196</v>
      </c>
      <c r="X61" s="7" t="n">
        <f aca="false">Inputs!$P$51</f>
        <v>1607.62127785232</v>
      </c>
      <c r="Y61" s="7" t="n">
        <f aca="false">Inputs!$Q$51</f>
        <v>1683.82096104267</v>
      </c>
      <c r="Z61" s="7" t="n">
        <f aca="false">Inputs!$R$51</f>
        <v>1760.02064423303</v>
      </c>
      <c r="AA61" s="7" t="n">
        <f aca="false">Inputs!$S$51</f>
        <v>1857.27289495722</v>
      </c>
      <c r="AB61" s="7" t="n">
        <f aca="false">Inputs!$T$51</f>
        <v>1954.52514568141</v>
      </c>
      <c r="AC61" s="7" t="n">
        <f aca="false">Inputs!$U$51</f>
        <v>2051.7773964056</v>
      </c>
      <c r="AD61" s="7" t="n">
        <f aca="false">Inputs!$V$51</f>
        <v>2149.02964712979</v>
      </c>
      <c r="AE61" s="7" t="n">
        <f aca="false">Inputs!$W$51</f>
        <v>2246.28189785398</v>
      </c>
    </row>
    <row r="62" customFormat="false" ht="15" hidden="false" customHeight="false" outlineLevel="0" collapsed="false">
      <c r="A62" s="0" t="s">
        <v>197</v>
      </c>
      <c r="B62" s="0" t="s">
        <v>123</v>
      </c>
      <c r="C62" s="0" t="s">
        <v>114</v>
      </c>
      <c r="P62" s="7" t="n">
        <f aca="false">Inputs!$H$52</f>
        <v>251.7</v>
      </c>
      <c r="Q62" s="7" t="n">
        <f aca="false">Inputs!$I$52</f>
        <v>265.60801385625</v>
      </c>
      <c r="R62" s="7" t="n">
        <f aca="false">Inputs!$J$52</f>
        <v>279.5160277125</v>
      </c>
      <c r="S62" s="7" t="n">
        <f aca="false">Inputs!$K$52</f>
        <v>293.42404156875</v>
      </c>
      <c r="T62" s="7" t="n">
        <f aca="false">Inputs!$L$52</f>
        <v>307.332055425</v>
      </c>
      <c r="U62" s="7" t="n">
        <f aca="false">Inputs!$M$52</f>
        <v>321.24006928125</v>
      </c>
      <c r="V62" s="7" t="n">
        <f aca="false">Inputs!$N$52</f>
        <v>338.990610936977</v>
      </c>
      <c r="W62" s="7" t="n">
        <f aca="false">Inputs!$O$52</f>
        <v>356.741152592703</v>
      </c>
      <c r="X62" s="7" t="n">
        <f aca="false">Inputs!$P$52</f>
        <v>374.491694248429</v>
      </c>
      <c r="Y62" s="7" t="n">
        <f aca="false">Inputs!$Q$52</f>
        <v>392.242235904156</v>
      </c>
      <c r="Z62" s="7" t="n">
        <f aca="false">Inputs!$R$52</f>
        <v>409.992777559882</v>
      </c>
      <c r="AA62" s="7" t="n">
        <f aca="false">Inputs!$S$52</f>
        <v>432.647466599474</v>
      </c>
      <c r="AB62" s="7" t="n">
        <f aca="false">Inputs!$T$52</f>
        <v>455.302155639066</v>
      </c>
      <c r="AC62" s="7" t="n">
        <f aca="false">Inputs!$U$52</f>
        <v>477.956844678658</v>
      </c>
      <c r="AD62" s="7" t="n">
        <f aca="false">Inputs!$V$52</f>
        <v>500.61153371825</v>
      </c>
      <c r="AE62" s="7" t="n">
        <f aca="false">Inputs!$W$52</f>
        <v>523.266222757842</v>
      </c>
    </row>
    <row r="63" customFormat="false" ht="15" hidden="false" customHeight="false" outlineLevel="0" collapsed="false">
      <c r="A63" s="0" t="s">
        <v>198</v>
      </c>
      <c r="B63" s="0" t="s">
        <v>124</v>
      </c>
      <c r="C63" s="0" t="s">
        <v>114</v>
      </c>
      <c r="P63" s="7" t="n">
        <f aca="false">Inputs!$H$53</f>
        <v>371.8</v>
      </c>
      <c r="Q63" s="7" t="n">
        <f aca="false">Inputs!$I$53</f>
        <v>392.3442969875</v>
      </c>
      <c r="R63" s="7" t="n">
        <f aca="false">Inputs!$J$53</f>
        <v>412.888593975</v>
      </c>
      <c r="S63" s="7" t="n">
        <f aca="false">Inputs!$K$53</f>
        <v>433.4328909625</v>
      </c>
      <c r="T63" s="7" t="n">
        <f aca="false">Inputs!$L$53</f>
        <v>453.97718795</v>
      </c>
      <c r="U63" s="7" t="n">
        <f aca="false">Inputs!$M$53</f>
        <v>474.5214849375</v>
      </c>
      <c r="V63" s="7" t="n">
        <f aca="false">Inputs!$N$53</f>
        <v>500.741792397171</v>
      </c>
      <c r="W63" s="7" t="n">
        <f aca="false">Inputs!$O$53</f>
        <v>526.962099856841</v>
      </c>
      <c r="X63" s="7" t="n">
        <f aca="false">Inputs!$P$53</f>
        <v>553.182407316512</v>
      </c>
      <c r="Y63" s="7" t="n">
        <f aca="false">Inputs!$Q$53</f>
        <v>579.402714776182</v>
      </c>
      <c r="Z63" s="7" t="n">
        <f aca="false">Inputs!$R$53</f>
        <v>605.623022235853</v>
      </c>
      <c r="AA63" s="7" t="n">
        <f aca="false">Inputs!$S$53</f>
        <v>639.087517209712</v>
      </c>
      <c r="AB63" s="7" t="n">
        <f aca="false">Inputs!$T$53</f>
        <v>672.552012183571</v>
      </c>
      <c r="AC63" s="7" t="n">
        <f aca="false">Inputs!$U$53</f>
        <v>706.016507157429</v>
      </c>
      <c r="AD63" s="7" t="n">
        <f aca="false">Inputs!$V$53</f>
        <v>739.481002131288</v>
      </c>
      <c r="AE63" s="7" t="n">
        <f aca="false">Inputs!$W$53</f>
        <v>772.945497105147</v>
      </c>
    </row>
    <row r="65" customFormat="false" ht="15" hidden="false" customHeight="false" outlineLevel="0" collapsed="false">
      <c r="A65" s="0" t="s">
        <v>199</v>
      </c>
      <c r="B65" s="0" t="s">
        <v>200</v>
      </c>
      <c r="C65" s="0" t="s">
        <v>201</v>
      </c>
      <c r="P65" s="7" t="n">
        <f aca="false">P8+P13+P18+P23+P28+P33+P39</f>
        <v>10106.52688494</v>
      </c>
      <c r="Q65" s="7" t="n">
        <f aca="false">Q8+Q13+Q18+Q23+Q28+Q33+Q39</f>
        <v>18184.5087718892</v>
      </c>
      <c r="R65" s="7" t="n">
        <f aca="false">R8+R13+R18+R23+R28+R33+R39</f>
        <v>26846.7406645253</v>
      </c>
      <c r="S65" s="7" t="n">
        <f aca="false">S8+S13+S18+S23+S28+S33+S39</f>
        <v>36116.7084657559</v>
      </c>
      <c r="T65" s="7" t="n">
        <f aca="false">T8+T13+T18+T23+T28+T33+T39</f>
        <v>46017.2847499657</v>
      </c>
      <c r="U65" s="7" t="n">
        <f aca="false">U8+U13+U18+U23+U28+U33+U39</f>
        <v>56570.732432316</v>
      </c>
      <c r="V65" s="7" t="n">
        <f aca="false">V8+V13+V18+V23+V28+V33+V39</f>
        <v>68096.0113931846</v>
      </c>
      <c r="W65" s="7" t="n">
        <f aca="false">W8+W13+W18+W23+W28+W33+W39</f>
        <v>80791.248824737</v>
      </c>
      <c r="X65" s="7" t="n">
        <f aca="false">X8+X13+X18+X23+X28+X33+X39</f>
        <v>94712.6873781214</v>
      </c>
      <c r="Y65" s="7" t="n">
        <f aca="false">Y8+Y13+Y18+Y23+Y28+Y33+Y39</f>
        <v>109896.300510924</v>
      </c>
      <c r="Z65" s="7" t="n">
        <f aca="false">Z8+Z13+Z18+Z23+Z28+Z33+Z39</f>
        <v>126443.304858652</v>
      </c>
      <c r="AA65" s="7" t="n">
        <f aca="false">AA8+AA13+AA18+AA23+AA28+AA33+AA39</f>
        <v>146046.314181215</v>
      </c>
      <c r="AB65" s="7" t="n">
        <f aca="false">AB8+AB13+AB18+AB23+AB28+AB33+AB39</f>
        <v>168205.922903347</v>
      </c>
      <c r="AC65" s="7" t="n">
        <f aca="false">AC8+AC13+AC18+AC23+AC28+AC33+AC39</f>
        <v>194391.522969208</v>
      </c>
      <c r="AD65" s="7" t="n">
        <f aca="false">AD8+AD13+AD18+AD23+AD28+AD33+AD39</f>
        <v>222634.315909771</v>
      </c>
      <c r="AE65" s="7" t="n">
        <f aca="false">AE8+AE13+AE18+AE23+AE28+AE33+AE39</f>
        <v>253009.243996477</v>
      </c>
    </row>
    <row r="66" customFormat="false" ht="15" hidden="false" customHeight="false" outlineLevel="0" collapsed="false">
      <c r="A66" s="0" t="s">
        <v>199</v>
      </c>
      <c r="B66" s="0" t="s">
        <v>202</v>
      </c>
      <c r="C66" s="0" t="s">
        <v>203</v>
      </c>
      <c r="P66" s="7" t="n">
        <f aca="false">P43+P46+P49+P52+P55+P58+P60+P61+P62+P63</f>
        <v>6093.89455</v>
      </c>
      <c r="Q66" s="7" t="n">
        <f aca="false">Q43+Q46+Q49+Q52+Q55+Q58+Q60+Q61+Q62+Q63</f>
        <v>6416.95645742598</v>
      </c>
      <c r="R66" s="7" t="n">
        <f aca="false">R43+R46+R49+R52+R55+R58+R60+R61+R62+R63</f>
        <v>6744.5073525803</v>
      </c>
      <c r="S66" s="7" t="n">
        <f aca="false">S43+S46+S49+S52+S55+S58+S60+S61+S62+S63</f>
        <v>7076.54723546297</v>
      </c>
      <c r="T66" s="7" t="n">
        <f aca="false">T43+T46+T49+T52+T55+T58+T60+T61+T62+T63</f>
        <v>7413.07610607399</v>
      </c>
      <c r="U66" s="7" t="n">
        <f aca="false">U43+U46+U49+U52+U55+U58+U60+U61+U62+U63</f>
        <v>7754.09396441335</v>
      </c>
      <c r="V66" s="7" t="n">
        <f aca="false">V43+V46+V49+V52+V55+V58+V60+V61+V62+V63</f>
        <v>8189.6353360077</v>
      </c>
      <c r="W66" s="7" t="n">
        <f aca="false">W43+W46+W49+W52+W55+W58+W60+W61+W62+W63</f>
        <v>8632.10228544335</v>
      </c>
      <c r="X66" s="7" t="n">
        <f aca="false">X43+X46+X49+X52+X55+X58+X60+X61+X62+X63</f>
        <v>9081.4948127203</v>
      </c>
      <c r="Y66" s="7" t="n">
        <f aca="false">Y43+Y46+Y49+Y52+Y55+Y58+Y60+Y61+Y62+Y63</f>
        <v>9537.81291783855</v>
      </c>
      <c r="Z66" s="7" t="n">
        <f aca="false">Z43+Z46+Z49+Z52+Z55+Z58+Z60+Z61+Z62+Z63</f>
        <v>10001.0566007981</v>
      </c>
      <c r="AA66" s="7" t="n">
        <f aca="false">AA43+AA46+AA49+AA52+AA55+AA58+AA60+AA61+AA62+AA63</f>
        <v>10526.90145594</v>
      </c>
      <c r="AB66" s="7" t="n">
        <f aca="false">AB43+AB46+AB49+AB52+AB55+AB58+AB60+AB61+AB62+AB63</f>
        <v>11056.9551561172</v>
      </c>
      <c r="AC66" s="7" t="n">
        <f aca="false">AC43+AC46+AC49+AC52+AC55+AC58+AC60+AC61+AC62+AC63</f>
        <v>11591.2177013298</v>
      </c>
      <c r="AD66" s="7" t="n">
        <f aca="false">AD43+AD46+AD49+AD52+AD55+AD58+AD60+AD61+AD62+AD63</f>
        <v>12129.6890915778</v>
      </c>
      <c r="AE66" s="7" t="n">
        <f aca="false">AE43+AE46+AE49+AE52+AE55+AE58+AE60+AE61+AE62+AE63</f>
        <v>12672.3693268612</v>
      </c>
    </row>
    <row r="67" customFormat="false" ht="15" hidden="false" customHeight="false" outlineLevel="0" collapsed="false">
      <c r="A67" s="0" t="s">
        <v>199</v>
      </c>
      <c r="B67" s="0" t="s">
        <v>47</v>
      </c>
      <c r="C67" s="0" t="s">
        <v>204</v>
      </c>
      <c r="P67" s="7" t="n">
        <f aca="false">P65+P66</f>
        <v>16200.42143494</v>
      </c>
      <c r="Q67" s="7" t="n">
        <f aca="false">Q65+Q66</f>
        <v>24601.4652293152</v>
      </c>
      <c r="R67" s="7" t="n">
        <f aca="false">R65+R66</f>
        <v>33591.2480171056</v>
      </c>
      <c r="S67" s="7" t="n">
        <f aca="false">S65+S66</f>
        <v>43193.2557012189</v>
      </c>
      <c r="T67" s="7" t="n">
        <f aca="false">T65+T66</f>
        <v>53430.3608560397</v>
      </c>
      <c r="U67" s="7" t="n">
        <f aca="false">U65+U66</f>
        <v>64324.8263967293</v>
      </c>
      <c r="V67" s="7" t="n">
        <f aca="false">V65+V66</f>
        <v>76285.6467291923</v>
      </c>
      <c r="W67" s="7" t="n">
        <f aca="false">W65+W66</f>
        <v>89423.3511101803</v>
      </c>
      <c r="X67" s="7" t="n">
        <f aca="false">X65+X66</f>
        <v>103794.182190842</v>
      </c>
      <c r="Y67" s="7" t="n">
        <f aca="false">Y65+Y66</f>
        <v>119434.113428762</v>
      </c>
      <c r="Z67" s="7" t="n">
        <f aca="false">Z65+Z66</f>
        <v>136444.36145945</v>
      </c>
      <c r="AA67" s="7" t="n">
        <f aca="false">AA65+AA66</f>
        <v>156573.215637155</v>
      </c>
      <c r="AB67" s="7" t="n">
        <f aca="false">AB65+AB66</f>
        <v>179262.878059464</v>
      </c>
      <c r="AC67" s="7" t="n">
        <f aca="false">AC65+AC66</f>
        <v>205982.740670538</v>
      </c>
      <c r="AD67" s="7" t="n">
        <f aca="false">AD65+AD66</f>
        <v>234764.005001348</v>
      </c>
      <c r="AE67" s="7" t="n">
        <f aca="false">AE65+AE66</f>
        <v>265681.613323339</v>
      </c>
    </row>
    <row r="68" customFormat="false" ht="15" hidden="false" customHeight="false" outlineLevel="0" collapsed="false">
      <c r="A68" s="0" t="s">
        <v>199</v>
      </c>
      <c r="B68" s="0" t="s">
        <v>205</v>
      </c>
      <c r="C68" s="0" t="s">
        <v>206</v>
      </c>
      <c r="P68" s="7" t="n">
        <f aca="false">P65+P43+P46+P49+P52+P55+P58</f>
        <v>14346.42143494</v>
      </c>
      <c r="Q68" s="7" t="n">
        <f aca="false">Q65+Q43+Q46+Q49+Q52+Q55+Q58</f>
        <v>22639.2286305112</v>
      </c>
      <c r="R68" s="7" t="n">
        <f aca="false">R65+R43+R46+R49+R52+R55+R58</f>
        <v>31520.7748194976</v>
      </c>
      <c r="S68" s="7" t="n">
        <f aca="false">S65+S43+S46+S49+S52+S55+S58</f>
        <v>41014.5459048069</v>
      </c>
      <c r="T68" s="7" t="n">
        <f aca="false">T65+T43+T46+T49+T52+T55+T58</f>
        <v>51143.4144608237</v>
      </c>
      <c r="U68" s="7" t="n">
        <f aca="false">U65+U43+U46+U49+U52+U55+U58</f>
        <v>61929.6434027094</v>
      </c>
      <c r="V68" s="7" t="n">
        <f aca="false">V65+V43+V46+V49+V52+V55+V58</f>
        <v>73749.6052952524</v>
      </c>
      <c r="W68" s="7" t="n">
        <f aca="false">W65+W43+W46+W49+W52+W55+W58</f>
        <v>86746.4512363204</v>
      </c>
      <c r="X68" s="7" t="n">
        <f aca="false">X65+X43+X46+X49+X52+X55+X58</f>
        <v>100976.423877062</v>
      </c>
      <c r="Y68" s="7" t="n">
        <f aca="false">Y65+Y43+Y46+Y49+Y52+Y55+Y58</f>
        <v>116475.496675063</v>
      </c>
      <c r="Z68" s="7" t="n">
        <f aca="false">Z65+Z43+Z46+Z49+Z52+Z55+Z58</f>
        <v>133344.88626583</v>
      </c>
      <c r="AA68" s="7" t="n">
        <f aca="false">AA65+AA43+AA46+AA49+AA52+AA55+AA58</f>
        <v>153289.97168529</v>
      </c>
      <c r="AB68" s="7" t="n">
        <f aca="false">AB65+AB43+AB46+AB49+AB52+AB55+AB58</f>
        <v>175795.865349353</v>
      </c>
      <c r="AC68" s="7" t="n">
        <f aca="false">AC65+AC43+AC46+AC49+AC52+AC55+AC58</f>
        <v>202331.959202182</v>
      </c>
      <c r="AD68" s="7" t="n">
        <f aca="false">AD65+AD43+AD46+AD49+AD52+AD55+AD58</f>
        <v>230929.454774747</v>
      </c>
      <c r="AE68" s="7" t="n">
        <f aca="false">AE65+AE43+AE46+AE49+AE52+AE55+AE58</f>
        <v>261663.294338492</v>
      </c>
    </row>
    <row r="70" customFormat="false" ht="15" hidden="false" customHeight="false" outlineLevel="0" collapsed="false">
      <c r="A70" s="0" t="s">
        <v>126</v>
      </c>
      <c r="B70" s="0" t="s">
        <v>24</v>
      </c>
      <c r="C70" s="0" t="s">
        <v>207</v>
      </c>
      <c r="P70" s="8" t="n">
        <f aca="false">IF(Control!$B$5,MAX(Inputs!$H$58,IF(2025&lt;=2030,Inputs!$H$58+(0.9-Inputs!$H$58)*(2025-2025)/5,0.9)),Inputs!$H$58)</f>
        <v>0.3</v>
      </c>
      <c r="Q70" s="8" t="n">
        <f aca="false">IF(Control!$B$5,MAX(Inputs!$I$58,IF(2026&lt;=2030,Inputs!$H$58+(0.9-Inputs!$H$58)*(2026-2025)/5,0.9)),Inputs!$I$58)</f>
        <v>0.38</v>
      </c>
      <c r="R70" s="8" t="n">
        <f aca="false">IF(Control!$B$5,MAX(Inputs!$J$58,IF(2027&lt;=2030,Inputs!$H$58+(0.9-Inputs!$H$58)*(2027-2025)/5,0.9)),Inputs!$J$58)</f>
        <v>0.46</v>
      </c>
      <c r="S70" s="8" t="n">
        <f aca="false">IF(Control!$B$5,MAX(Inputs!$K$58,IF(2028&lt;=2030,Inputs!$H$58+(0.9-Inputs!$H$58)*(2028-2025)/5,0.9)),Inputs!$K$58)</f>
        <v>0.54</v>
      </c>
      <c r="T70" s="8" t="n">
        <f aca="false">IF(Control!$B$5,MAX(Inputs!$L$58,IF(2029&lt;=2030,Inputs!$H$58+(0.9-Inputs!$H$58)*(2029-2025)/5,0.9)),Inputs!$L$58)</f>
        <v>0.62</v>
      </c>
      <c r="U70" s="8" t="n">
        <f aca="false">IF(Control!$B$5,MAX(Inputs!$M$58,IF(2030&lt;=2030,Inputs!$H$58+(0.9-Inputs!$H$58)*(2030-2025)/5,0.9)),Inputs!$M$58)</f>
        <v>0.7</v>
      </c>
      <c r="V70" s="8" t="n">
        <f aca="false">IF(Control!$B$5,MAX(Inputs!$N$58,IF(2031&lt;=2030,Inputs!$H$58+(0.9-Inputs!$H$58)*(2031-2025)/5,0.9)),Inputs!$N$58)</f>
        <v>0.73</v>
      </c>
      <c r="W70" s="8" t="n">
        <f aca="false">IF(Control!$B$5,MAX(Inputs!$O$58,IF(2032&lt;=2030,Inputs!$H$58+(0.9-Inputs!$H$58)*(2032-2025)/5,0.9)),Inputs!$O$58)</f>
        <v>0.76</v>
      </c>
      <c r="X70" s="8" t="n">
        <f aca="false">IF(Control!$B$5,MAX(Inputs!$P$58,IF(2033&lt;=2030,Inputs!$H$58+(0.9-Inputs!$H$58)*(2033-2025)/5,0.9)),Inputs!$P$58)</f>
        <v>0.79</v>
      </c>
      <c r="Y70" s="8" t="n">
        <f aca="false">IF(Control!$B$5,MAX(Inputs!$Q$58,IF(2034&lt;=2030,Inputs!$H$58+(0.9-Inputs!$H$58)*(2034-2025)/5,0.9)),Inputs!$Q$58)</f>
        <v>0.82</v>
      </c>
      <c r="Z70" s="8" t="n">
        <f aca="false">IF(Control!$B$5,MAX(Inputs!$R$58,IF(2035&lt;=2030,Inputs!$H$58+(0.9-Inputs!$H$58)*(2035-2025)/5,0.9)),Inputs!$R$58)</f>
        <v>0.85</v>
      </c>
      <c r="AA70" s="8" t="n">
        <f aca="false">IF(Control!$B$5,MAX(Inputs!$S$58,IF(2036&lt;=2030,Inputs!$H$58+(0.9-Inputs!$H$58)*(2036-2025)/5,0.9)),Inputs!$S$58)</f>
        <v>0.86</v>
      </c>
      <c r="AB70" s="8" t="n">
        <f aca="false">IF(Control!$B$5,MAX(Inputs!$T$58,IF(2037&lt;=2030,Inputs!$H$58+(0.9-Inputs!$H$58)*(2037-2025)/5,0.9)),Inputs!$T$58)</f>
        <v>0.87</v>
      </c>
      <c r="AC70" s="8" t="n">
        <f aca="false">IF(Control!$B$5,MAX(Inputs!$U$58,IF(2038&lt;=2030,Inputs!$H$58+(0.9-Inputs!$H$58)*(2038-2025)/5,0.9)),Inputs!$U$58)</f>
        <v>0.88</v>
      </c>
      <c r="AD70" s="8" t="n">
        <f aca="false">IF(Control!$B$5,MAX(Inputs!$V$58,IF(2039&lt;=2030,Inputs!$H$58+(0.9-Inputs!$H$58)*(2039-2025)/5,0.9)),Inputs!$V$58)</f>
        <v>0.89</v>
      </c>
      <c r="AE70" s="8" t="n">
        <f aca="false">IF(Control!$B$5,MAX(Inputs!$W$58,IF(2040&lt;=2030,Inputs!$H$58+(0.9-Inputs!$H$58)*(2040-2025)/5,0.9)),Inputs!$W$58)</f>
        <v>0.9</v>
      </c>
    </row>
    <row r="71" customFormat="false" ht="15" hidden="false" customHeight="false" outlineLevel="0" collapsed="false">
      <c r="A71" s="0" t="s">
        <v>126</v>
      </c>
      <c r="B71" s="0" t="s">
        <v>24</v>
      </c>
      <c r="C71" s="0" t="s">
        <v>208</v>
      </c>
      <c r="P71" s="8" t="n">
        <f aca="false">IF(Control!$B$5,MAX(Inputs!$H$59,IF(2025&lt;=2030,Inputs!$H$59+(0.7-Inputs!$H$59)*(2025-2025)/5,0.7)),Inputs!$H$59)</f>
        <v>0.15</v>
      </c>
      <c r="Q71" s="8" t="n">
        <f aca="false">IF(Control!$B$5,MAX(Inputs!$I$59,IF(2026&lt;=2030,Inputs!$H$59+(0.7-Inputs!$H$59)*(2026-2025)/5,0.7)),Inputs!$I$59)</f>
        <v>0.19</v>
      </c>
      <c r="R71" s="8" t="n">
        <f aca="false">IF(Control!$B$5,MAX(Inputs!$J$59,IF(2027&lt;=2030,Inputs!$H$59+(0.7-Inputs!$H$59)*(2027-2025)/5,0.7)),Inputs!$J$59)</f>
        <v>0.23</v>
      </c>
      <c r="S71" s="8" t="n">
        <f aca="false">IF(Control!$B$5,MAX(Inputs!$K$59,IF(2028&lt;=2030,Inputs!$H$59+(0.7-Inputs!$H$59)*(2028-2025)/5,0.7)),Inputs!$K$59)</f>
        <v>0.27</v>
      </c>
      <c r="T71" s="8" t="n">
        <f aca="false">IF(Control!$B$5,MAX(Inputs!$L$59,IF(2029&lt;=2030,Inputs!$H$59+(0.7-Inputs!$H$59)*(2029-2025)/5,0.7)),Inputs!$L$59)</f>
        <v>0.31</v>
      </c>
      <c r="U71" s="8" t="n">
        <f aca="false">IF(Control!$B$5,MAX(Inputs!$M$59,IF(2030&lt;=2030,Inputs!$H$59+(0.7-Inputs!$H$59)*(2030-2025)/5,0.7)),Inputs!$M$59)</f>
        <v>0.35</v>
      </c>
      <c r="V71" s="8" t="n">
        <f aca="false">IF(Control!$B$5,MAX(Inputs!$N$59,IF(2031&lt;=2030,Inputs!$H$59+(0.7-Inputs!$H$59)*(2031-2025)/5,0.7)),Inputs!$N$59)</f>
        <v>0.39</v>
      </c>
      <c r="W71" s="8" t="n">
        <f aca="false">IF(Control!$B$5,MAX(Inputs!$O$59,IF(2032&lt;=2030,Inputs!$H$59+(0.7-Inputs!$H$59)*(2032-2025)/5,0.7)),Inputs!$O$59)</f>
        <v>0.43</v>
      </c>
      <c r="X71" s="8" t="n">
        <f aca="false">IF(Control!$B$5,MAX(Inputs!$P$59,IF(2033&lt;=2030,Inputs!$H$59+(0.7-Inputs!$H$59)*(2033-2025)/5,0.7)),Inputs!$P$59)</f>
        <v>0.47</v>
      </c>
      <c r="Y71" s="8" t="n">
        <f aca="false">IF(Control!$B$5,MAX(Inputs!$Q$59,IF(2034&lt;=2030,Inputs!$H$59+(0.7-Inputs!$H$59)*(2034-2025)/5,0.7)),Inputs!$Q$59)</f>
        <v>0.51</v>
      </c>
      <c r="Z71" s="8" t="n">
        <f aca="false">IF(Control!$B$5,MAX(Inputs!$R$59,IF(2035&lt;=2030,Inputs!$H$59+(0.7-Inputs!$H$59)*(2035-2025)/5,0.7)),Inputs!$R$59)</f>
        <v>0.55</v>
      </c>
      <c r="AA71" s="8" t="n">
        <f aca="false">IF(Control!$B$5,MAX(Inputs!$S$59,IF(2036&lt;=2030,Inputs!$H$59+(0.7-Inputs!$H$59)*(2036-2025)/5,0.7)),Inputs!$S$59)</f>
        <v>0.58</v>
      </c>
      <c r="AB71" s="8" t="n">
        <f aca="false">IF(Control!$B$5,MAX(Inputs!$T$59,IF(2037&lt;=2030,Inputs!$H$59+(0.7-Inputs!$H$59)*(2037-2025)/5,0.7)),Inputs!$T$59)</f>
        <v>0.61</v>
      </c>
      <c r="AC71" s="8" t="n">
        <f aca="false">IF(Control!$B$5,MAX(Inputs!$U$59,IF(2038&lt;=2030,Inputs!$H$59+(0.7-Inputs!$H$59)*(2038-2025)/5,0.7)),Inputs!$U$59)</f>
        <v>0.64</v>
      </c>
      <c r="AD71" s="8" t="n">
        <f aca="false">IF(Control!$B$5,MAX(Inputs!$V$59,IF(2039&lt;=2030,Inputs!$H$59+(0.7-Inputs!$H$59)*(2039-2025)/5,0.7)),Inputs!$V$59)</f>
        <v>0.67</v>
      </c>
      <c r="AE71" s="8" t="n">
        <f aca="false">IF(Control!$B$5,MAX(Inputs!$W$59,IF(2040&lt;=2030,Inputs!$H$59+(0.7-Inputs!$H$59)*(2040-2025)/5,0.7)),Inputs!$W$59)</f>
        <v>0.7</v>
      </c>
    </row>
    <row r="72" customFormat="false" ht="15" hidden="false" customHeight="false" outlineLevel="0" collapsed="false">
      <c r="A72" s="0" t="s">
        <v>126</v>
      </c>
      <c r="B72" s="0" t="s">
        <v>24</v>
      </c>
      <c r="C72" s="0" t="s">
        <v>209</v>
      </c>
      <c r="P72" s="8" t="n">
        <f aca="false">IF(Control!$B$5,MAX(Inputs!$H$60,IF(2025&lt;=2030,Inputs!$H$60+(0.95-Inputs!$H$60)*(2025-2025)/5,0.95)),Inputs!$H$60)</f>
        <v>0.8</v>
      </c>
      <c r="Q72" s="8" t="n">
        <f aca="false">IF(Control!$B$5,MAX(Inputs!$I$60,IF(2026&lt;=2030,Inputs!$H$60+(0.95-Inputs!$H$60)*(2026-2025)/5,0.95)),Inputs!$I$60)</f>
        <v>0.82</v>
      </c>
      <c r="R72" s="8" t="n">
        <f aca="false">IF(Control!$B$5,MAX(Inputs!$J$60,IF(2027&lt;=2030,Inputs!$H$60+(0.95-Inputs!$H$60)*(2027-2025)/5,0.95)),Inputs!$J$60)</f>
        <v>0.84</v>
      </c>
      <c r="S72" s="8" t="n">
        <f aca="false">IF(Control!$B$5,MAX(Inputs!$K$60,IF(2028&lt;=2030,Inputs!$H$60+(0.95-Inputs!$H$60)*(2028-2025)/5,0.95)),Inputs!$K$60)</f>
        <v>0.86</v>
      </c>
      <c r="T72" s="8" t="n">
        <f aca="false">IF(Control!$B$5,MAX(Inputs!$L$60,IF(2029&lt;=2030,Inputs!$H$60+(0.95-Inputs!$H$60)*(2029-2025)/5,0.95)),Inputs!$L$60)</f>
        <v>0.88</v>
      </c>
      <c r="U72" s="8" t="n">
        <f aca="false">IF(Control!$B$5,MAX(Inputs!$M$60,IF(2030&lt;=2030,Inputs!$H$60+(0.95-Inputs!$H$60)*(2030-2025)/5,0.95)),Inputs!$M$60)</f>
        <v>0.9</v>
      </c>
      <c r="V72" s="8" t="n">
        <f aca="false">IF(Control!$B$5,MAX(Inputs!$N$60,IF(2031&lt;=2030,Inputs!$H$60+(0.95-Inputs!$H$60)*(2031-2025)/5,0.95)),Inputs!$N$60)</f>
        <v>0.904</v>
      </c>
      <c r="W72" s="8" t="n">
        <f aca="false">IF(Control!$B$5,MAX(Inputs!$O$60,IF(2032&lt;=2030,Inputs!$H$60+(0.95-Inputs!$H$60)*(2032-2025)/5,0.95)),Inputs!$O$60)</f>
        <v>0.908</v>
      </c>
      <c r="X72" s="8" t="n">
        <f aca="false">IF(Control!$B$5,MAX(Inputs!$P$60,IF(2033&lt;=2030,Inputs!$H$60+(0.95-Inputs!$H$60)*(2033-2025)/5,0.95)),Inputs!$P$60)</f>
        <v>0.912</v>
      </c>
      <c r="Y72" s="8" t="n">
        <f aca="false">IF(Control!$B$5,MAX(Inputs!$Q$60,IF(2034&lt;=2030,Inputs!$H$60+(0.95-Inputs!$H$60)*(2034-2025)/5,0.95)),Inputs!$Q$60)</f>
        <v>0.916</v>
      </c>
      <c r="Z72" s="8" t="n">
        <f aca="false">IF(Control!$B$5,MAX(Inputs!$R$60,IF(2035&lt;=2030,Inputs!$H$60+(0.95-Inputs!$H$60)*(2035-2025)/5,0.95)),Inputs!$R$60)</f>
        <v>0.92</v>
      </c>
      <c r="AA72" s="8" t="n">
        <f aca="false">IF(Control!$B$5,MAX(Inputs!$S$60,IF(2036&lt;=2030,Inputs!$H$60+(0.95-Inputs!$H$60)*(2036-2025)/5,0.95)),Inputs!$S$60)</f>
        <v>0.92</v>
      </c>
      <c r="AB72" s="8" t="n">
        <f aca="false">IF(Control!$B$5,MAX(Inputs!$T$60,IF(2037&lt;=2030,Inputs!$H$60+(0.95-Inputs!$H$60)*(2037-2025)/5,0.95)),Inputs!$T$60)</f>
        <v>0.92</v>
      </c>
      <c r="AC72" s="8" t="n">
        <f aca="false">IF(Control!$B$5,MAX(Inputs!$U$60,IF(2038&lt;=2030,Inputs!$H$60+(0.95-Inputs!$H$60)*(2038-2025)/5,0.95)),Inputs!$U$60)</f>
        <v>0.92</v>
      </c>
      <c r="AD72" s="8" t="n">
        <f aca="false">IF(Control!$B$5,MAX(Inputs!$V$60,IF(2039&lt;=2030,Inputs!$H$60+(0.95-Inputs!$H$60)*(2039-2025)/5,0.95)),Inputs!$V$60)</f>
        <v>0.92</v>
      </c>
      <c r="AE72" s="8" t="n">
        <f aca="false">IF(Control!$B$5,MAX(Inputs!$W$60,IF(2040&lt;=2030,Inputs!$H$60+(0.95-Inputs!$H$60)*(2040-2025)/5,0.95)),Inputs!$W$60)</f>
        <v>0.92</v>
      </c>
    </row>
    <row r="73" customFormat="false" ht="15" hidden="false" customHeight="false" outlineLevel="0" collapsed="false">
      <c r="A73" s="0" t="s">
        <v>126</v>
      </c>
      <c r="B73" s="0" t="s">
        <v>24</v>
      </c>
      <c r="C73" s="0" t="s">
        <v>210</v>
      </c>
      <c r="P73" s="7" t="n">
        <f aca="false">(J8*P70+J13*P70+M18*P70+F23*P70+H28*P70+H33*P70+D39*P70+M43*P71+K46*P71+L49*P71+N52*P71+M55*P71)*P72</f>
        <v>433.0880028</v>
      </c>
      <c r="Q73" s="7" t="n">
        <f aca="false">(K8*Q70+K13*Q70+N18*Q70+G23*Q70+I28*Q70+I33*Q70+E39*Q70+N43*Q71+L46*Q71+M49*Q71+O52*Q71+N55*Q71)*Q72</f>
        <v>582.803523198</v>
      </c>
      <c r="R73" s="7" t="n">
        <f aca="false">(L8*R70+L13*R70+O18*R70+H23*R70+J28*R70+J33*R70+F39*R70+O43*R71+M46*R71+N49*R71+P52*R71+O55*R71)*R72</f>
        <v>840.788880624</v>
      </c>
      <c r="S73" s="7" t="n">
        <f aca="false">(M8*S70+M13*S70+P18*S70+I23*S70+K28*S70+K33*S70+G39*S70+P43*S71+N46*S71+O49*S71+Q52*S71+P55*S71)*S72</f>
        <v>1391.58948899618</v>
      </c>
      <c r="T73" s="7" t="n">
        <f aca="false">(N8*T70+N13*T70+Q18*T70+J23*T70+L28*T70+L33*T70+H39*T70+Q43*T71+O46*T71+P49*T71+R52*T71+Q55*T71)*T72</f>
        <v>2025.10087936068</v>
      </c>
      <c r="U73" s="7" t="n">
        <f aca="false">(O8*U70+O13*U70+R18*U70+K23*U70+M28*U70+M33*U70+I39*U70+R43*U71+P46*U71+Q49*U71+S52*U71+R55*U71)*U72</f>
        <v>2987.40182570235</v>
      </c>
      <c r="V73" s="7" t="n">
        <f aca="false">(P8*V70+P13*V70+S18*V70+L23*V70+N28*V70+N33*V70+J39*V70+S43*V71+Q46*V71+R49*V71+T52*V71+S55*V71)*V72</f>
        <v>4378.51260655875</v>
      </c>
      <c r="W73" s="7" t="n">
        <f aca="false">(Q8*W70+Q13*W70+T18*W70+M23*W70+O28*W70+O33*W70+K39*W70+T43*W71+R46*W71+S49*W71+U52*W71+T55*W71)*W72</f>
        <v>6498.4752125859</v>
      </c>
      <c r="X73" s="7" t="n">
        <f aca="false">(R8*X70+R13*X70+U18*X70+N23*X70+P28*X70+P33*X70+L39*X70+U43*X71+S46*X71+T49*X71+V52*X71+U55*X71)*X72</f>
        <v>9387.98114838373</v>
      </c>
      <c r="Y73" s="7" t="n">
        <f aca="false">(S8*Y70+S13*Y70+V18*Y70+O23*Y70+Q28*Y70+Q33*Y70+M39*Y70+V43*Y71+T46*Y71+U49*Y71+W52*Y71+V55*Y71)*Y72</f>
        <v>12707.6219910119</v>
      </c>
      <c r="Z73" s="7" t="n">
        <f aca="false">(T8*Z70+T13*Z70+W18*Z70+P23*Z70+R28*Z70+R33*Z70+N39*Z70+W43*Z71+U46*Z71+V49*Z71+X52*Z71+W55*Z71)*Z72</f>
        <v>18169.0721346124</v>
      </c>
      <c r="AA73" s="7" t="n">
        <f aca="false">(U8*AA70+U13*AA70+X18*AA70+Q23*AA70+S28*AA70+S33*AA70+O39*AA70+X43*AA71+V46*AA71+W49*AA71+Y52*AA71+X55*AA71)*AA72</f>
        <v>23591.3521130805</v>
      </c>
      <c r="AB73" s="7" t="n">
        <f aca="false">(V8*AB70+V13*AB70+Y18*AB70+R23*AB70+T28*AB70+T33*AB70+P39*AB70+Y43*AB71+W46*AB71+X49*AB71+Z52*AB71+Y55*AB71)*AB72</f>
        <v>30247.888607543</v>
      </c>
      <c r="AC73" s="7" t="n">
        <f aca="false">(W8*AC70+W13*AC70+Z18*AC70+S23*AC70+U28*AC70+U33*AC70+Q39*AC70+Z43*AC71+X46*AC71+Y49*AC71+AA52*AC71+Z55*AC71)*AC72</f>
        <v>39384.2907449076</v>
      </c>
      <c r="AD73" s="7" t="n">
        <f aca="false">(X8*AD70+X13*AD70+AA18*AD70+T23*AD70+V28*AD70+V33*AD70+R39*AD70+AA43*AD71+Y46*AD71+Z49*AD71+AB52*AD71+AA55*AD71)*AD72</f>
        <v>49799.1047777837</v>
      </c>
      <c r="AE73" s="7" t="n">
        <f aca="false">(Y8*AE70+Y13*AE70+AB18*AE70+U23*AE70+W28*AE70+W33*AE70+S39*AE70+AB43*AE71+Z46*AE71+AA49*AE71+AC52*AE71+AB55*AE71)*AE72</f>
        <v>61140.2779822995</v>
      </c>
    </row>
    <row r="74" customFormat="false" ht="15" hidden="false" customHeight="false" outlineLevel="0" collapsed="false">
      <c r="A74" s="0" t="s">
        <v>126</v>
      </c>
      <c r="B74" s="0" t="s">
        <v>211</v>
      </c>
      <c r="C74" s="0" t="s">
        <v>212</v>
      </c>
      <c r="P74" s="7" t="n">
        <f aca="false">MAX(IF(2025&gt;=Inputs!$H$55,Inputs!$H$54,0),IF(Control!$B$8,IF(2025&lt;2032,0,IF(2025&lt;=2035,1500*(2025-2031)/4,1500+2500*(2025-2035)/5)),0))</f>
        <v>0</v>
      </c>
      <c r="Q74" s="7" t="n">
        <f aca="false">MAX(IF(2026&gt;=Inputs!$I$55,Inputs!$I$54,0),IF(Control!$B$8,IF(2026&lt;2032,0,IF(2026&lt;=2035,1500*(2026-2031)/4,1500+2500*(2026-2035)/5)),0))</f>
        <v>0</v>
      </c>
      <c r="R74" s="7" t="n">
        <f aca="false">MAX(IF(2027&gt;=Inputs!$J$55,Inputs!$J$54,0),IF(Control!$B$8,IF(2027&lt;2032,0,IF(2027&lt;=2035,1500*(2027-2031)/4,1500+2500*(2027-2035)/5)),0))</f>
        <v>0</v>
      </c>
      <c r="S74" s="7" t="n">
        <f aca="false">MAX(IF(2028&gt;=Inputs!$K$55,Inputs!$K$54,0),IF(Control!$B$8,IF(2028&lt;2032,0,IF(2028&lt;=2035,1500*(2028-2031)/4,1500+2500*(2028-2035)/5)),0))</f>
        <v>0</v>
      </c>
      <c r="T74" s="7" t="n">
        <f aca="false">MAX(IF(2029&gt;=Inputs!$L$55,Inputs!$L$54,0),IF(Control!$B$8,IF(2029&lt;2032,0,IF(2029&lt;=2035,1500*(2029-2031)/4,1500+2500*(2029-2035)/5)),0))</f>
        <v>0</v>
      </c>
      <c r="U74" s="7" t="n">
        <f aca="false">MAX(IF(2030&gt;=Inputs!$M$55,Inputs!$M$54,0),IF(Control!$B$8,IF(2030&lt;2032,0,IF(2030&lt;=2035,1500*(2030-2031)/4,1500+2500*(2030-2035)/5)),0))</f>
        <v>0</v>
      </c>
      <c r="V74" s="7" t="n">
        <f aca="false">MAX(IF(2031&gt;=Inputs!$N$55,Inputs!$N$54,0),IF(Control!$B$8,IF(2031&lt;2032,0,IF(2031&lt;=2035,1500*(2031-2031)/4,1500+2500*(2031-2035)/5)),0))</f>
        <v>0</v>
      </c>
      <c r="W74" s="7" t="n">
        <f aca="false">MAX(IF(2032&gt;=Inputs!$O$55,Inputs!$O$54,0),IF(Control!$B$8,IF(2032&lt;2032,0,IF(2032&lt;=2035,1500*(2032-2031)/4,1500+2500*(2032-2035)/5)),0))</f>
        <v>0</v>
      </c>
      <c r="X74" s="7" t="n">
        <f aca="false">MAX(IF(2033&gt;=Inputs!$P$55,Inputs!$P$54,0),IF(Control!$B$8,IF(2033&lt;2032,0,IF(2033&lt;=2035,1500*(2033-2031)/4,1500+2500*(2033-2035)/5)),0))</f>
        <v>0</v>
      </c>
      <c r="Y74" s="7" t="n">
        <f aca="false">MAX(IF(2034&gt;=Inputs!$Q$55,Inputs!$Q$54,0),IF(Control!$B$8,IF(2034&lt;2032,0,IF(2034&lt;=2035,1500*(2034-2031)/4,1500+2500*(2034-2035)/5)),0))</f>
        <v>0</v>
      </c>
      <c r="Z74" s="7" t="n">
        <f aca="false">MAX(IF(2035&gt;=Inputs!$R$55,Inputs!$R$54,0),IF(Control!$B$8,IF(2035&lt;2032,0,IF(2035&lt;=2035,1500*(2035-2031)/4,1500+2500*(2035-2035)/5)),0))</f>
        <v>0</v>
      </c>
      <c r="AA74" s="7" t="n">
        <f aca="false">MAX(IF(2036&gt;=Inputs!$S$55,Inputs!$S$54,0),IF(Control!$B$8,IF(2036&lt;2032,0,IF(2036&lt;=2035,1500*(2036-2031)/4,1500+2500*(2036-2035)/5)),0))</f>
        <v>0</v>
      </c>
      <c r="AB74" s="7" t="n">
        <f aca="false">MAX(IF(2037&gt;=Inputs!$T$55,Inputs!$T$54,0),IF(Control!$B$8,IF(2037&lt;2032,0,IF(2037&lt;=2035,1500*(2037-2031)/4,1500+2500*(2037-2035)/5)),0))</f>
        <v>0</v>
      </c>
      <c r="AC74" s="7" t="n">
        <f aca="false">MAX(IF(2038&gt;=Inputs!$U$55,Inputs!$U$54,0),IF(Control!$B$8,IF(2038&lt;2032,0,IF(2038&lt;=2035,1500*(2038-2031)/4,1500+2500*(2038-2035)/5)),0))</f>
        <v>0</v>
      </c>
      <c r="AD74" s="7" t="n">
        <f aca="false">MAX(IF(2039&gt;=Inputs!$V$55,Inputs!$V$54,0),IF(Control!$B$8,IF(2039&lt;2032,0,IF(2039&lt;=2035,1500*(2039-2031)/4,1500+2500*(2039-2035)/5)),0))</f>
        <v>480</v>
      </c>
      <c r="AE74" s="7" t="n">
        <f aca="false">MAX(IF(2040&gt;=Inputs!$W$55,Inputs!$W$54,0),IF(Control!$B$8,IF(2040&lt;2032,0,IF(2040&lt;=2035,1500*(2040-2031)/4,1500+2500*(2040-2035)/5)),0))</f>
        <v>600</v>
      </c>
    </row>
    <row r="75" customFormat="false" ht="15" hidden="false" customHeight="false" outlineLevel="0" collapsed="false">
      <c r="A75" s="0" t="s">
        <v>126</v>
      </c>
      <c r="B75" s="0" t="s">
        <v>213</v>
      </c>
      <c r="C75" s="0" t="s">
        <v>214</v>
      </c>
      <c r="P75" s="7" t="n">
        <f aca="false">IF(2025&gt;=Inputs!$H$57,Inputs!$H$56,0)+IF(AND(Control!$B$6,2025&gt;=2031),IF(2025&lt;=2035,10000+20000*(2025-2030)/5,30000+20000*(2025-2035)/5),0)</f>
        <v>0</v>
      </c>
      <c r="Q75" s="7" t="n">
        <f aca="false">IF(2026&gt;=Inputs!$I$57,Inputs!$I$56,0)+IF(AND(Control!$B$6,2026&gt;=2031),IF(2026&lt;=2035,10000+20000*(2026-2030)/5,30000+20000*(2026-2035)/5),0)</f>
        <v>0</v>
      </c>
      <c r="R75" s="7" t="n">
        <f aca="false">IF(2027&gt;=Inputs!$J$57,Inputs!$J$56,0)+IF(AND(Control!$B$6,2027&gt;=2031),IF(2027&lt;=2035,10000+20000*(2027-2030)/5,30000+20000*(2027-2035)/5),0)</f>
        <v>0</v>
      </c>
      <c r="S75" s="7" t="n">
        <f aca="false">IF(2028&gt;=Inputs!$K$57,Inputs!$K$56,0)+IF(AND(Control!$B$6,2028&gt;=2031),IF(2028&lt;=2035,10000+20000*(2028-2030)/5,30000+20000*(2028-2035)/5),0)</f>
        <v>0</v>
      </c>
      <c r="T75" s="7" t="n">
        <f aca="false">IF(2029&gt;=Inputs!$L$57,Inputs!$L$56,0)+IF(AND(Control!$B$6,2029&gt;=2031),IF(2029&lt;=2035,10000+20000*(2029-2030)/5,30000+20000*(2029-2035)/5),0)</f>
        <v>0</v>
      </c>
      <c r="U75" s="7" t="n">
        <f aca="false">IF(2030&gt;=Inputs!$M$57,Inputs!$M$56,0)+IF(AND(Control!$B$6,2030&gt;=2031),IF(2030&lt;=2035,10000+20000*(2030-2030)/5,30000+20000*(2030-2035)/5),0)</f>
        <v>0</v>
      </c>
      <c r="V75" s="7" t="n">
        <f aca="false">IF(2031&gt;=Inputs!$N$57,Inputs!$N$56,0)+IF(AND(Control!$B$6,2031&gt;=2031),IF(2031&lt;=2035,10000+20000*(2031-2030)/5,30000+20000*(2031-2035)/5),0)</f>
        <v>0</v>
      </c>
      <c r="W75" s="7" t="n">
        <f aca="false">IF(2032&gt;=Inputs!$O$57,Inputs!$O$56,0)+IF(AND(Control!$B$6,2032&gt;=2031),IF(2032&lt;=2035,10000+20000*(2032-2030)/5,30000+20000*(2032-2035)/5),0)</f>
        <v>2400</v>
      </c>
      <c r="X75" s="7" t="n">
        <f aca="false">IF(2033&gt;=Inputs!$P$57,Inputs!$P$56,0)+IF(AND(Control!$B$6,2033&gt;=2031),IF(2033&lt;=2035,10000+20000*(2033-2030)/5,30000+20000*(2033-2035)/5),0)</f>
        <v>3600</v>
      </c>
      <c r="Y75" s="7" t="n">
        <f aca="false">IF(2034&gt;=Inputs!$Q$57,Inputs!$Q$56,0)+IF(AND(Control!$B$6,2034&gt;=2031),IF(2034&lt;=2035,10000+20000*(2034-2030)/5,30000+20000*(2034-2035)/5),0)</f>
        <v>4800</v>
      </c>
      <c r="Z75" s="7" t="n">
        <f aca="false">IF(2035&gt;=Inputs!$R$57,Inputs!$R$56,0)+IF(AND(Control!$B$6,2035&gt;=2031),IF(2035&lt;=2035,10000+20000*(2035-2030)/5,30000+20000*(2035-2035)/5),0)</f>
        <v>6000</v>
      </c>
      <c r="AA75" s="7" t="n">
        <f aca="false">IF(2036&gt;=Inputs!$S$57,Inputs!$S$56,0)+IF(AND(Control!$B$6,2036&gt;=2031),IF(2036&lt;=2035,10000+20000*(2036-2030)/5,30000+20000*(2036-2035)/5),0)</f>
        <v>7200</v>
      </c>
      <c r="AB75" s="7" t="n">
        <f aca="false">IF(2037&gt;=Inputs!$T$57,Inputs!$T$56,0)+IF(AND(Control!$B$6,2037&gt;=2031),IF(2037&lt;=2035,10000+20000*(2037-2030)/5,30000+20000*(2037-2035)/5),0)</f>
        <v>8400</v>
      </c>
      <c r="AC75" s="7" t="n">
        <f aca="false">IF(2038&gt;=Inputs!$U$57,Inputs!$U$56,0)+IF(AND(Control!$B$6,2038&gt;=2031),IF(2038&lt;=2035,10000+20000*(2038-2030)/5,30000+20000*(2038-2035)/5),0)</f>
        <v>9600</v>
      </c>
      <c r="AD75" s="7" t="n">
        <f aca="false">IF(2039&gt;=Inputs!$V$57,Inputs!$V$56,0)+IF(AND(Control!$B$6,2039&gt;=2031),IF(2039&lt;=2035,10000+20000*(2039-2030)/5,30000+20000*(2039-2035)/5),0)</f>
        <v>10800</v>
      </c>
      <c r="AE75" s="7" t="n">
        <f aca="false">IF(2040&gt;=Inputs!$W$57,Inputs!$W$56,0)+IF(AND(Control!$B$6,2040&gt;=2031),IF(2040&lt;=2035,10000+20000*(2040-2030)/5,30000+20000*(2040-2035)/5),0)</f>
        <v>12000</v>
      </c>
    </row>
    <row r="76" customFormat="false" ht="15" hidden="false" customHeight="false" outlineLevel="0" collapsed="false">
      <c r="A76" s="0" t="s">
        <v>126</v>
      </c>
      <c r="B76" s="0" t="s">
        <v>215</v>
      </c>
      <c r="C76" s="0" t="s">
        <v>216</v>
      </c>
      <c r="P76" s="7" t="n">
        <f aca="false">Inputs!$H$61*Control!$B$10</f>
        <v>46320</v>
      </c>
      <c r="Q76" s="7" t="n">
        <f aca="false">Inputs!$I$61*Control!$B$10</f>
        <v>52656</v>
      </c>
      <c r="R76" s="7" t="n">
        <f aca="false">Inputs!$J$61*Control!$B$10</f>
        <v>58992</v>
      </c>
      <c r="S76" s="7" t="n">
        <f aca="false">Inputs!$K$61*Control!$B$10</f>
        <v>65328</v>
      </c>
      <c r="T76" s="7" t="n">
        <f aca="false">Inputs!$L$61*Control!$B$10</f>
        <v>71664</v>
      </c>
      <c r="U76" s="7" t="n">
        <f aca="false">Inputs!$M$61*Control!$B$10</f>
        <v>78000</v>
      </c>
      <c r="V76" s="7" t="n">
        <f aca="false">Inputs!$N$61*Control!$B$10</f>
        <v>82800</v>
      </c>
      <c r="W76" s="7" t="n">
        <f aca="false">Inputs!$O$61*Control!$B$10</f>
        <v>87600</v>
      </c>
      <c r="X76" s="7" t="n">
        <f aca="false">Inputs!$P$61*Control!$B$10</f>
        <v>92400</v>
      </c>
      <c r="Y76" s="7" t="n">
        <f aca="false">Inputs!$Q$61*Control!$B$10</f>
        <v>97200</v>
      </c>
      <c r="Z76" s="7" t="n">
        <f aca="false">Inputs!$R$61*Control!$B$10</f>
        <v>102000</v>
      </c>
      <c r="AA76" s="7" t="n">
        <f aca="false">Inputs!$S$61*Control!$B$10</f>
        <v>107400</v>
      </c>
      <c r="AB76" s="7" t="n">
        <f aca="false">Inputs!$T$61*Control!$B$10</f>
        <v>112800</v>
      </c>
      <c r="AC76" s="7" t="n">
        <f aca="false">Inputs!$U$61*Control!$B$10</f>
        <v>118200</v>
      </c>
      <c r="AD76" s="7" t="n">
        <f aca="false">Inputs!$V$61*Control!$B$10</f>
        <v>123600</v>
      </c>
      <c r="AE76" s="7" t="n">
        <f aca="false">Inputs!$W$61*Control!$B$10</f>
        <v>129000</v>
      </c>
    </row>
    <row r="78" customFormat="false" ht="15" hidden="false" customHeight="false" outlineLevel="0" collapsed="false">
      <c r="A78" s="0" t="s">
        <v>217</v>
      </c>
      <c r="B78" s="0" t="s">
        <v>218</v>
      </c>
      <c r="C78" s="0" t="s">
        <v>219</v>
      </c>
      <c r="P78" s="7" t="n">
        <f aca="false">MAX(0,P67-P73-P74)</f>
        <v>15767.33343214</v>
      </c>
      <c r="Q78" s="7" t="n">
        <f aca="false">MAX(0,Q67-Q73-Q74)</f>
        <v>24018.6617061172</v>
      </c>
      <c r="R78" s="7" t="n">
        <f aca="false">MAX(0,R67-R73-R74)</f>
        <v>32750.4591364816</v>
      </c>
      <c r="S78" s="7" t="n">
        <f aca="false">MAX(0,S67-S73-S74)</f>
        <v>41801.6662122227</v>
      </c>
      <c r="T78" s="7" t="n">
        <f aca="false">MAX(0,T67-T73-T74)</f>
        <v>51405.259976679</v>
      </c>
      <c r="U78" s="7" t="n">
        <f aca="false">MAX(0,U67-U73-U74)</f>
        <v>61337.424571027</v>
      </c>
      <c r="V78" s="7" t="n">
        <f aca="false">MAX(0,V67-V73-V74)</f>
        <v>71907.1341226336</v>
      </c>
      <c r="W78" s="7" t="n">
        <f aca="false">MAX(0,W67-W73-W74)</f>
        <v>82924.8758975944</v>
      </c>
      <c r="X78" s="7" t="n">
        <f aca="false">MAX(0,X67-X73-X74)</f>
        <v>94406.201042458</v>
      </c>
      <c r="Y78" s="7" t="n">
        <f aca="false">MAX(0,Y67-Y73-Y74)</f>
        <v>106726.49143775</v>
      </c>
      <c r="Z78" s="7" t="n">
        <f aca="false">MAX(0,Z67-Z73-Z74)</f>
        <v>118275.289324837</v>
      </c>
      <c r="AA78" s="7" t="n">
        <f aca="false">MAX(0,AA67-AA73-AA74)</f>
        <v>132981.863524075</v>
      </c>
      <c r="AB78" s="7" t="n">
        <f aca="false">MAX(0,AB67-AB73-AB74)</f>
        <v>149014.989451921</v>
      </c>
      <c r="AC78" s="7" t="n">
        <f aca="false">MAX(0,AC67-AC73-AC74)</f>
        <v>166598.44992563</v>
      </c>
      <c r="AD78" s="7" t="n">
        <f aca="false">MAX(0,AD67-AD73-AD74)</f>
        <v>184484.900223565</v>
      </c>
      <c r="AE78" s="7" t="n">
        <f aca="false">MAX(0,AE67-AE73-AE74)</f>
        <v>203941.335341039</v>
      </c>
    </row>
    <row r="79" customFormat="false" ht="15" hidden="false" customHeight="false" outlineLevel="0" collapsed="false">
      <c r="A79" s="0" t="s">
        <v>217</v>
      </c>
      <c r="B79" s="0" t="s">
        <v>218</v>
      </c>
      <c r="C79" s="0" t="s">
        <v>220</v>
      </c>
      <c r="P79" s="7" t="n">
        <f aca="false">MAX(0,P78-P75)</f>
        <v>15767.33343214</v>
      </c>
      <c r="Q79" s="7" t="n">
        <f aca="false">MAX(0,Q78-Q75)</f>
        <v>24018.6617061172</v>
      </c>
      <c r="R79" s="7" t="n">
        <f aca="false">MAX(0,R78-R75)</f>
        <v>32750.4591364816</v>
      </c>
      <c r="S79" s="7" t="n">
        <f aca="false">MAX(0,S78-S75)</f>
        <v>41801.6662122227</v>
      </c>
      <c r="T79" s="7" t="n">
        <f aca="false">MAX(0,T78-T75)</f>
        <v>51405.259976679</v>
      </c>
      <c r="U79" s="7" t="n">
        <f aca="false">MAX(0,U78-U75)</f>
        <v>61337.424571027</v>
      </c>
      <c r="V79" s="7" t="n">
        <f aca="false">MAX(0,V78-V75)</f>
        <v>71907.1341226336</v>
      </c>
      <c r="W79" s="7" t="n">
        <f aca="false">MAX(0,W78-W75)</f>
        <v>80524.8758975944</v>
      </c>
      <c r="X79" s="7" t="n">
        <f aca="false">MAX(0,X78-X75)</f>
        <v>90806.201042458</v>
      </c>
      <c r="Y79" s="7" t="n">
        <f aca="false">MAX(0,Y78-Y75)</f>
        <v>101926.49143775</v>
      </c>
      <c r="Z79" s="7" t="n">
        <f aca="false">MAX(0,Z78-Z75)</f>
        <v>112275.289324837</v>
      </c>
      <c r="AA79" s="7" t="n">
        <f aca="false">MAX(0,AA78-AA75)</f>
        <v>125781.863524075</v>
      </c>
      <c r="AB79" s="7" t="n">
        <f aca="false">MAX(0,AB78-AB75)</f>
        <v>140614.989451921</v>
      </c>
      <c r="AC79" s="7" t="n">
        <f aca="false">MAX(0,AC78-AC75)</f>
        <v>156998.44992563</v>
      </c>
      <c r="AD79" s="7" t="n">
        <f aca="false">MAX(0,AD78-AD75)</f>
        <v>173684.900223565</v>
      </c>
      <c r="AE79" s="7" t="n">
        <f aca="false">MAX(0,AE78-AE75)</f>
        <v>191941.335341039</v>
      </c>
    </row>
    <row r="80" customFormat="false" ht="15" hidden="false" customHeight="false" outlineLevel="0" collapsed="false">
      <c r="A80" s="0" t="s">
        <v>217</v>
      </c>
      <c r="B80" s="0" t="s">
        <v>218</v>
      </c>
      <c r="C80" s="0" t="s">
        <v>221</v>
      </c>
      <c r="P80" s="7" t="n">
        <f aca="false">P73+P74+P75+P76</f>
        <v>46753.0880028</v>
      </c>
      <c r="Q80" s="7" t="n">
        <f aca="false">Q73+Q74+Q75+Q76</f>
        <v>53238.803523198</v>
      </c>
      <c r="R80" s="7" t="n">
        <f aca="false">R73+R74+R75+R76</f>
        <v>59832.788880624</v>
      </c>
      <c r="S80" s="7" t="n">
        <f aca="false">S73+S74+S75+S76</f>
        <v>66719.5894889962</v>
      </c>
      <c r="T80" s="7" t="n">
        <f aca="false">T73+T74+T75+T76</f>
        <v>73689.1008793607</v>
      </c>
      <c r="U80" s="7" t="n">
        <f aca="false">U73+U74+U75+U76</f>
        <v>80987.4018257023</v>
      </c>
      <c r="V80" s="7" t="n">
        <f aca="false">V73+V74+V75+V76</f>
        <v>87178.5126065588</v>
      </c>
      <c r="W80" s="7" t="n">
        <f aca="false">W73+W74+W75+W76</f>
        <v>96498.4752125859</v>
      </c>
      <c r="X80" s="7" t="n">
        <f aca="false">X73+X74+X75+X76</f>
        <v>105387.981148384</v>
      </c>
      <c r="Y80" s="7" t="n">
        <f aca="false">Y73+Y74+Y75+Y76</f>
        <v>114707.621991012</v>
      </c>
      <c r="Z80" s="7" t="n">
        <f aca="false">Z73+Z74+Z75+Z76</f>
        <v>126169.072134612</v>
      </c>
      <c r="AA80" s="7" t="n">
        <f aca="false">AA73+AA74+AA75+AA76</f>
        <v>138191.35211308</v>
      </c>
      <c r="AB80" s="7" t="n">
        <f aca="false">AB73+AB74+AB75+AB76</f>
        <v>151447.888607543</v>
      </c>
      <c r="AC80" s="7" t="n">
        <f aca="false">AC73+AC74+AC75+AC76</f>
        <v>167184.290744908</v>
      </c>
      <c r="AD80" s="7" t="n">
        <f aca="false">AD73+AD74+AD75+AD76</f>
        <v>184679.104777784</v>
      </c>
      <c r="AE80" s="7" t="n">
        <f aca="false">AE73+AE74+AE75+AE76</f>
        <v>202740.277982299</v>
      </c>
    </row>
    <row r="81" customFormat="false" ht="15" hidden="false" customHeight="false" outlineLevel="0" collapsed="false">
      <c r="A81" s="0" t="s">
        <v>217</v>
      </c>
      <c r="B81" s="0" t="s">
        <v>218</v>
      </c>
      <c r="C81" s="0" t="s">
        <v>222</v>
      </c>
      <c r="P81" s="7" t="n">
        <f aca="false">MAX(0,P67-P80)</f>
        <v>0</v>
      </c>
      <c r="Q81" s="7" t="n">
        <f aca="false">MAX(0,Q67-Q80)</f>
        <v>0</v>
      </c>
      <c r="R81" s="7" t="n">
        <f aca="false">MAX(0,R67-R80)</f>
        <v>0</v>
      </c>
      <c r="S81" s="7" t="n">
        <f aca="false">MAX(0,S67-S80)</f>
        <v>0</v>
      </c>
      <c r="T81" s="7" t="n">
        <f aca="false">MAX(0,T67-T80)</f>
        <v>0</v>
      </c>
      <c r="U81" s="7" t="n">
        <f aca="false">MAX(0,U67-U80)</f>
        <v>0</v>
      </c>
      <c r="V81" s="7" t="n">
        <f aca="false">MAX(0,V67-V80)</f>
        <v>0</v>
      </c>
      <c r="W81" s="7" t="n">
        <f aca="false">MAX(0,W67-W80)</f>
        <v>0</v>
      </c>
      <c r="X81" s="7" t="n">
        <f aca="false">MAX(0,X67-X80)</f>
        <v>0</v>
      </c>
      <c r="Y81" s="7" t="n">
        <f aca="false">MAX(0,Y67-Y80)</f>
        <v>4726.49143775045</v>
      </c>
      <c r="Z81" s="7" t="n">
        <f aca="false">MAX(0,Z67-Z80)</f>
        <v>10275.2893248374</v>
      </c>
      <c r="AA81" s="7" t="n">
        <f aca="false">MAX(0,AA67-AA80)</f>
        <v>18381.8635240745</v>
      </c>
      <c r="AB81" s="7" t="n">
        <f aca="false">MAX(0,AB67-AB80)</f>
        <v>27814.9894519208</v>
      </c>
      <c r="AC81" s="7" t="n">
        <f aca="false">MAX(0,AC67-AC80)</f>
        <v>38798.4499256304</v>
      </c>
      <c r="AD81" s="7" t="n">
        <f aca="false">MAX(0,AD67-AD80)</f>
        <v>50084.9002235646</v>
      </c>
      <c r="AE81" s="7" t="n">
        <f aca="false">MAX(0,AE67-AE80)</f>
        <v>62941.3353410391</v>
      </c>
    </row>
    <row r="82" customFormat="false" ht="15" hidden="false" customHeight="false" outlineLevel="0" collapsed="false">
      <c r="A82" s="0" t="s">
        <v>217</v>
      </c>
      <c r="B82" s="0" t="s">
        <v>218</v>
      </c>
      <c r="C82" s="0" t="s">
        <v>223</v>
      </c>
      <c r="P82" s="8" t="n">
        <f aca="false">MIN(1,MAX(0,P80-P66)/P65)</f>
        <v>1</v>
      </c>
      <c r="Q82" s="8" t="n">
        <f aca="false">MIN(1,MAX(0,Q80-Q66)/Q65)</f>
        <v>1</v>
      </c>
      <c r="R82" s="8" t="n">
        <f aca="false">MIN(1,MAX(0,R80-R66)/R65)</f>
        <v>1</v>
      </c>
      <c r="S82" s="8" t="n">
        <f aca="false">MIN(1,MAX(0,S80-S66)/S65)</f>
        <v>1</v>
      </c>
      <c r="T82" s="8" t="n">
        <f aca="false">MIN(1,MAX(0,T80-T66)/T65)</f>
        <v>1</v>
      </c>
      <c r="U82" s="8" t="n">
        <f aca="false">MIN(1,MAX(0,U80-U66)/U65)</f>
        <v>1</v>
      </c>
      <c r="V82" s="8" t="n">
        <f aca="false">MIN(1,MAX(0,V80-V66)/V65)</f>
        <v>1</v>
      </c>
      <c r="W82" s="8" t="n">
        <f aca="false">MIN(1,MAX(0,W80-W66)/W65)</f>
        <v>1</v>
      </c>
      <c r="X82" s="8" t="n">
        <f aca="false">MIN(1,MAX(0,X80-X66)/X65)</f>
        <v>1</v>
      </c>
      <c r="Y82" s="8" t="n">
        <f aca="false">MIN(1,MAX(0,Y80-Y66)/Y65)</f>
        <v>0.956991350793645</v>
      </c>
      <c r="Z82" s="8" t="n">
        <f aca="false">MIN(1,MAX(0,Z80-Z66)/Z65)</f>
        <v>0.91873599526425</v>
      </c>
      <c r="AA82" s="8" t="n">
        <f aca="false">MIN(1,MAX(0,AA80-AA66)/AA65)</f>
        <v>0.874136751570011</v>
      </c>
      <c r="AB82" s="8" t="n">
        <f aca="false">MIN(1,MAX(0,AB80-AB66)/AB65)</f>
        <v>0.8346372769055</v>
      </c>
      <c r="AC82" s="8" t="n">
        <f aca="false">MIN(1,MAX(0,AC80-AC66)/AC65)</f>
        <v>0.800410792955328</v>
      </c>
      <c r="AD82" s="8" t="n">
        <f aca="false">MIN(1,MAX(0,AD80-AD66)/AD65)</f>
        <v>0.775035128709165</v>
      </c>
      <c r="AE82" s="8" t="n">
        <f aca="false">MIN(1,MAX(0,AE80-AE66)/AE65)</f>
        <v>0.751229107890163</v>
      </c>
    </row>
    <row r="83" customFormat="false" ht="15" hidden="false" customHeight="false" outlineLevel="0" collapsed="false">
      <c r="A83" s="0" t="s">
        <v>217</v>
      </c>
      <c r="B83" s="0" t="s">
        <v>218</v>
      </c>
      <c r="C83" s="0" t="s">
        <v>31</v>
      </c>
      <c r="P83" s="8" t="n">
        <f aca="false">P78/P67</f>
        <v>0.973266868115792</v>
      </c>
      <c r="Q83" s="8" t="n">
        <f aca="false">Q78/Q67</f>
        <v>0.976310210885182</v>
      </c>
      <c r="R83" s="8" t="n">
        <f aca="false">R78/R67</f>
        <v>0.974970001704139</v>
      </c>
      <c r="S83" s="8" t="n">
        <f aca="false">S78/S67</f>
        <v>0.967782250575825</v>
      </c>
      <c r="T83" s="8" t="n">
        <f aca="false">T78/T67</f>
        <v>0.962098311766656</v>
      </c>
      <c r="U83" s="8" t="n">
        <f aca="false">U78/U67</f>
        <v>0.953557561006426</v>
      </c>
      <c r="V83" s="8" t="n">
        <f aca="false">V78/V67</f>
        <v>0.942603716501191</v>
      </c>
      <c r="W83" s="8" t="n">
        <f aca="false">W78/W67</f>
        <v>0.92732910216506</v>
      </c>
      <c r="X83" s="8" t="n">
        <f aca="false">X78/X67</f>
        <v>0.909551952236374</v>
      </c>
      <c r="Y83" s="8" t="n">
        <f aca="false">Y78/Y67</f>
        <v>0.89360140393564</v>
      </c>
      <c r="Z83" s="8" t="n">
        <f aca="false">Z78/Z67</f>
        <v>0.866838966885326</v>
      </c>
      <c r="AA83" s="8" t="n">
        <f aca="false">AA78/AA67</f>
        <v>0.849327025589413</v>
      </c>
      <c r="AB83" s="8" t="n">
        <f aca="false">AB78/AB67</f>
        <v>0.831265184766757</v>
      </c>
      <c r="AC83" s="8" t="n">
        <f aca="false">AC78/AC67</f>
        <v>0.808798103099806</v>
      </c>
      <c r="AD83" s="8" t="n">
        <f aca="false">AD78/AD67</f>
        <v>0.78583128713665</v>
      </c>
      <c r="AE83" s="8" t="n">
        <f aca="false">AE78/AE67</f>
        <v>0.76761554098529</v>
      </c>
    </row>
    <row r="84" customFormat="false" ht="15" hidden="false" customHeight="false" outlineLevel="0" collapsed="false">
      <c r="A84" s="0" t="s">
        <v>217</v>
      </c>
      <c r="B84" s="0" t="s">
        <v>218</v>
      </c>
      <c r="C84" s="0" t="s">
        <v>224</v>
      </c>
      <c r="P84" s="9" t="n">
        <f aca="false">P73/P68</f>
        <v>0.0301878768000803</v>
      </c>
      <c r="Q84" s="9" t="n">
        <f aca="false">Q73/Q68</f>
        <v>0.0257430821831336</v>
      </c>
      <c r="R84" s="9" t="n">
        <f aca="false">R73/R68</f>
        <v>0.0266741184326445</v>
      </c>
      <c r="S84" s="9" t="n">
        <f aca="false">S73/S68</f>
        <v>0.0339291697200793</v>
      </c>
      <c r="T84" s="9" t="n">
        <f aca="false">T73/T68</f>
        <v>0.0395965130742674</v>
      </c>
      <c r="U84" s="9" t="n">
        <f aca="false">U73/U68</f>
        <v>0.0482386408440332</v>
      </c>
      <c r="V84" s="9" t="n">
        <f aca="false">V73/V68</f>
        <v>0.0593699802057194</v>
      </c>
      <c r="W84" s="9" t="n">
        <f aca="false">W73/W68</f>
        <v>0.0749134416448037</v>
      </c>
      <c r="X84" s="9" t="n">
        <f aca="false">X73/X68</f>
        <v>0.0929720105736121</v>
      </c>
      <c r="Y84" s="9" t="n">
        <f aca="false">Y73/Y68</f>
        <v>0.109101247504983</v>
      </c>
      <c r="Z84" s="9" t="n">
        <f aca="false">Z73/Z68</f>
        <v>0.13625623481647</v>
      </c>
      <c r="AA84" s="9" t="n">
        <f aca="false">AA73/AA68</f>
        <v>0.153900166160343</v>
      </c>
      <c r="AB84" s="9" t="n">
        <f aca="false">AB73/AB68</f>
        <v>0.172062571252358</v>
      </c>
      <c r="AC84" s="9" t="n">
        <f aca="false">AC73/AC68</f>
        <v>0.194651852827425</v>
      </c>
      <c r="AD84" s="9" t="n">
        <f aca="false">AD73/AD68</f>
        <v>0.215646396542869</v>
      </c>
      <c r="AE84" s="9" t="n">
        <f aca="false">AE73/AE68</f>
        <v>0.233660124691419</v>
      </c>
    </row>
    <row r="85" customFormat="false" ht="15" hidden="false" customHeight="false" outlineLevel="0" collapsed="false">
      <c r="A85" s="0" t="s">
        <v>217</v>
      </c>
      <c r="B85" s="0" t="s">
        <v>218</v>
      </c>
      <c r="C85" s="0" t="s">
        <v>225</v>
      </c>
      <c r="P85" s="8" t="n">
        <v>0</v>
      </c>
      <c r="Q85" s="8" t="n">
        <v>0</v>
      </c>
      <c r="R85" s="8" t="n">
        <v>0.05</v>
      </c>
      <c r="S85" s="8" t="n">
        <v>0.1</v>
      </c>
      <c r="T85" s="8" t="n">
        <v>0.15</v>
      </c>
      <c r="U85" s="8" t="n">
        <v>0.2</v>
      </c>
      <c r="V85" s="8" t="n">
        <v>0.2</v>
      </c>
      <c r="W85" s="8" t="n">
        <v>0.2</v>
      </c>
      <c r="X85" s="8" t="n">
        <v>0.2</v>
      </c>
      <c r="Y85" s="8" t="n">
        <v>0.2</v>
      </c>
      <c r="Z85" s="8" t="n">
        <v>0.2</v>
      </c>
      <c r="AA85" s="8" t="n">
        <v>0.2</v>
      </c>
      <c r="AB85" s="8" t="n">
        <v>0.2</v>
      </c>
      <c r="AC85" s="8" t="n">
        <v>0.2</v>
      </c>
      <c r="AD85" s="8" t="n">
        <v>0.2</v>
      </c>
      <c r="AE85" s="8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2026-10-10T18:18:25Z</dcterms:created>
  <dc:creator>openpyxl</dc:creator>
  <dc:description/>
  <dc:language>en-US</dc:language>
  <cp:lastModifiedBy/>
  <dcterms:modified xsi:type="dcterms:W3CDTF">2026-10-10T18:18:43Z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